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name="Aadhar - DC" sheetId="1" state="visible" r:id="rId1"/>
    <sheet name="Aadhar - XD" sheetId="2" state="visible" r:id="rId2"/>
    <sheet name="Hyperverge - DC" sheetId="3" state="visible" r:id="rId3"/>
    <sheet name="Hyperverge - XD" sheetId="4" state="visible" r:id="rId4"/>
    <sheet name="Manual Onb - HR wise details" sheetId="5" state="visible" r:id="rId5"/>
    <sheet name="RED Cases - HR wise details" sheetId="6" state="visible" r:id="rId6"/>
    <sheet name="Onboarding Base" sheetId="7" state="visible" r:id="rId7"/>
  </sheets>
  <definedNames>
    <definedName name="_xlnm._FilterDatabase" localSheetId="5" hidden="1">'RED Cases - HR wise details'!$A$1:$B$1</definedName>
  </definedNames>
  <calcPr calcId="19102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d\-mmm"/>
    <numFmt numFmtId="165" formatCode="d\-mmm\-yy"/>
    <numFmt numFmtId="166" formatCode="yyyy\-mm\-dd\ h:mm:ss"/>
  </numFmts>
  <fonts count="7">
    <font>
      <name val="Calibri"/>
      <charset val="1"/>
      <family val="2"/>
      <color theme="1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sz val="11"/>
    </font>
    <font>
      <name val="Arial"/>
      <charset val="1"/>
      <family val="2"/>
      <sz val="10"/>
    </font>
    <font>
      <name val="Calibri"/>
      <charset val="1"/>
      <family val="2"/>
      <b val="1"/>
      <sz val="12"/>
    </font>
    <font>
      <name val="Arial"/>
      <family val="2"/>
      <b val="1"/>
      <sz val="10"/>
    </font>
  </fonts>
  <fills count="9">
    <fill>
      <patternFill/>
    </fill>
    <fill>
      <patternFill patternType="gray125"/>
    </fill>
    <fill>
      <patternFill patternType="solid">
        <fgColor rgb="FFDBE9F7"/>
        <bgColor rgb="FFD9D9D9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CCCCCC"/>
      </patternFill>
    </fill>
    <fill>
      <patternFill patternType="solid">
        <fgColor rgb="FFD9D9D9"/>
        <bgColor rgb="FFCCCCCC"/>
      </patternFill>
    </fill>
    <fill>
      <patternFill patternType="solid">
        <fgColor rgb="FFCCCCCC"/>
        <bgColor rgb="FFBFBFBF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4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3" fontId="1" fillId="5" borderId="1" applyAlignment="1" pivotButton="0" quotePrefix="0" xfId="0">
      <alignment horizontal="center" vertical="center"/>
    </xf>
    <xf numFmtId="9" fontId="1" fillId="5" borderId="1" applyAlignment="1" pivotButton="0" quotePrefix="0" xfId="0">
      <alignment horizontal="center" vertical="center"/>
    </xf>
    <xf numFmtId="3" fontId="1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9" fontId="1" fillId="5" borderId="1" applyAlignment="1" pivotButton="0" quotePrefix="0" xfId="1">
      <alignment horizontal="center" vertical="center"/>
    </xf>
    <xf numFmtId="10" fontId="1" fillId="5" borderId="1" applyAlignment="1" pivotButton="0" quotePrefix="0" xfId="1">
      <alignment horizontal="center" vertical="center"/>
    </xf>
    <xf numFmtId="9" fontId="3" fillId="0" borderId="0" applyAlignment="1" pivotButton="0" quotePrefix="0" xfId="0">
      <alignment horizontal="center" vertical="center"/>
    </xf>
    <xf numFmtId="9" fontId="1" fillId="5" borderId="1" applyAlignment="1" pivotButton="0" quotePrefix="0" xfId="0">
      <alignment horizontal="center" vertical="center" wrapText="1"/>
    </xf>
    <xf numFmtId="10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3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0" pivotButton="0" quotePrefix="0" xfId="0"/>
    <xf numFmtId="1" fontId="6" fillId="8" borderId="1" applyAlignment="1" pivotButton="0" quotePrefix="0" xfId="1">
      <alignment horizontal="center"/>
    </xf>
    <xf numFmtId="1" fontId="2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/>
    </xf>
    <xf numFmtId="1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6" fontId="2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165" fontId="1" fillId="2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/>
    </xf>
  </cellXfs>
  <cellStyles count="2">
    <cellStyle name="Normal" xfId="0" builtinId="0"/>
    <cellStyle name="Percent" xfId="1" builtinId="5"/>
  </cellStyles>
  <dxfs count="80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BE9F7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zoomScaleNormal="100" workbookViewId="0">
      <selection pane="topRight" activeCell="AM1" sqref="AM1"/>
      <selection pane="bottomLeft" activeCell="A3" sqref="A3"/>
      <selection pane="bottomRight" activeCell="BS14" sqref="A1:BX18"/>
    </sheetView>
  </sheetViews>
  <sheetFormatPr baseColWidth="8" defaultColWidth="8.6640625" defaultRowHeight="14.4"/>
  <cols>
    <col width="17.88671875" customWidth="1" min="1" max="1"/>
    <col width="15.77734375" bestFit="1" customWidth="1" min="2" max="2"/>
    <col width="9.6640625" bestFit="1" customWidth="1" min="3" max="3"/>
    <col width="13" customWidth="1" min="4" max="4"/>
    <col width="12.77734375" bestFit="1" customWidth="1" min="5" max="5"/>
    <col width="15.77734375" bestFit="1" customWidth="1" min="6" max="6"/>
    <col width="9.6640625" bestFit="1" customWidth="1" min="7" max="7"/>
    <col width="13" customWidth="1" min="8" max="8"/>
    <col width="12.77734375" bestFit="1" customWidth="1" min="9" max="9"/>
    <col width="9.6640625" bestFit="1" customWidth="1" min="10" max="10"/>
    <col width="13" customWidth="1" min="11" max="11"/>
  </cols>
  <sheetData>
    <row r="1" ht="15.75" customHeight="1">
      <c r="A1" s="36" t="inlineStr">
        <is>
          <t>Site</t>
        </is>
      </c>
      <c r="B1" s="40" t="n"/>
      <c r="C1" s="41" t="n"/>
      <c r="D1" s="41" t="n"/>
      <c r="E1" s="42" t="n"/>
      <c r="F1" s="40" t="n"/>
      <c r="G1" s="41" t="n"/>
      <c r="H1" s="41" t="n"/>
      <c r="I1" s="42" t="n"/>
      <c r="J1" s="43" t="inlineStr">
        <is>
          <t>Hyperverge Red</t>
        </is>
      </c>
      <c r="K1" s="42" t="n"/>
    </row>
    <row r="2" ht="26.25" customHeight="1">
      <c r="A2" s="44" t="n"/>
      <c r="B2" s="45" t="inlineStr">
        <is>
          <t>Total Onboarding</t>
        </is>
      </c>
      <c r="C2" s="45" t="inlineStr">
        <is>
          <t>Aadhar</t>
        </is>
      </c>
      <c r="D2" s="1" t="inlineStr">
        <is>
          <t>Manual</t>
        </is>
      </c>
      <c r="E2" s="4" t="inlineStr">
        <is>
          <t>Compliance %</t>
        </is>
      </c>
      <c r="F2" s="45" t="inlineStr">
        <is>
          <t>Total Onboarding</t>
        </is>
      </c>
      <c r="G2" s="45" t="inlineStr">
        <is>
          <t>Aadhar</t>
        </is>
      </c>
      <c r="H2" s="1" t="inlineStr">
        <is>
          <t>Manual</t>
        </is>
      </c>
      <c r="I2" s="4" t="inlineStr">
        <is>
          <t>Compliance %</t>
        </is>
      </c>
      <c r="J2" s="46">
        <f>B1</f>
        <v/>
      </c>
      <c r="K2" s="46">
        <f>F1</f>
        <v/>
      </c>
    </row>
    <row r="3" ht="15" customHeight="1">
      <c r="A3" s="6" t="inlineStr">
        <is>
          <t>Bangalore DC</t>
        </is>
      </c>
      <c r="B3" s="7">
        <f>COUNTIFS('Onboarding Base'!$H:$H, $A3, 'Onboarding Base'!$J:$J, B$1)</f>
        <v/>
      </c>
      <c r="C3" s="7">
        <f>COUNTIFS('Onboarding Base'!$H:$H, $A3, 'Onboarding Base'!$J:$J, B$1, 'Onboarding Base'!$P:$P, "Y")</f>
        <v/>
      </c>
      <c r="D3" s="7">
        <f>COUNTIFS('Onboarding Base'!$H:$H, $A3, 'Onboarding Base'!$J:$J, B$1, 'Onboarding Base'!$P:$P, "N")</f>
        <v/>
      </c>
      <c r="E3" s="8">
        <f>IFERROR(C3/B3,100%)</f>
        <v/>
      </c>
      <c r="F3" s="7">
        <f>COUNTIFS('Onboarding Base'!$H:$H, $A3, 'Onboarding Base'!$J:$J, F$1)</f>
        <v/>
      </c>
      <c r="G3" s="7">
        <f>COUNTIFS('Onboarding Base'!$H:$H, $A3, 'Onboarding Base'!$J:$J, F$1, 'Onboarding Base'!$P:$P, "Y")</f>
        <v/>
      </c>
      <c r="H3" s="7">
        <f>COUNTIFS('Onboarding Base'!$H:$H, $A3, 'Onboarding Base'!$J:$J, F$1, 'Onboarding Base'!$P:$P, "N")</f>
        <v/>
      </c>
      <c r="I3" s="8">
        <f>IFERROR(G3/F3,100%)</f>
        <v/>
      </c>
      <c r="J3" s="7">
        <f>'Hyperverge - DC'!C3</f>
        <v/>
      </c>
      <c r="K3" s="7">
        <f>'Hyperverge - DC'!E3</f>
        <v/>
      </c>
    </row>
    <row r="4" ht="15" customHeight="1">
      <c r="A4" s="6" t="inlineStr">
        <is>
          <t>Hyderabad DC</t>
        </is>
      </c>
      <c r="B4" s="7">
        <f>COUNTIFS('Onboarding Base'!$H:$H, $A4, 'Onboarding Base'!$J:$J, B$1)</f>
        <v/>
      </c>
      <c r="C4" s="7">
        <f>COUNTIFS('Onboarding Base'!$H:$H, $A4, 'Onboarding Base'!$J:$J, B$1, 'Onboarding Base'!$P:$P, "Y")</f>
        <v/>
      </c>
      <c r="D4" s="7">
        <f>COUNTIFS('Onboarding Base'!$H:$H, $A4, 'Onboarding Base'!$J:$J, B$1, 'Onboarding Base'!$P:$P, "N")</f>
        <v/>
      </c>
      <c r="E4" s="8">
        <f>IFERROR(C4/B4,100%)</f>
        <v/>
      </c>
      <c r="F4" s="7">
        <f>COUNTIFS('Onboarding Base'!$H:$H, $A4, 'Onboarding Base'!$J:$J, F$1)</f>
        <v/>
      </c>
      <c r="G4" s="7">
        <f>COUNTIFS('Onboarding Base'!$H:$H, $A4, 'Onboarding Base'!$J:$J, F$1, 'Onboarding Base'!$P:$P, "Y")</f>
        <v/>
      </c>
      <c r="H4" s="7">
        <f>COUNTIFS('Onboarding Base'!$H:$H, $A4, 'Onboarding Base'!$J:$J, F$1, 'Onboarding Base'!$P:$P, "N")</f>
        <v/>
      </c>
      <c r="I4" s="8">
        <f>IFERROR(G4/F4,100%)</f>
        <v/>
      </c>
      <c r="J4" s="7">
        <f>'Hyperverge - DC'!C4</f>
        <v/>
      </c>
      <c r="K4" s="7">
        <f>'Hyperverge - DC'!E4</f>
        <v/>
      </c>
    </row>
    <row r="5" ht="15" customHeight="1">
      <c r="A5" s="6" t="inlineStr">
        <is>
          <t>NCR TAURU DC</t>
        </is>
      </c>
      <c r="B5" s="7">
        <f>COUNTIFS('Onboarding Base'!$H:$H, $A5, 'Onboarding Base'!$J:$J, B$1)</f>
        <v/>
      </c>
      <c r="C5" s="7">
        <f>COUNTIFS('Onboarding Base'!$H:$H, $A5, 'Onboarding Base'!$J:$J, B$1, 'Onboarding Base'!$P:$P, "Y")</f>
        <v/>
      </c>
      <c r="D5" s="7">
        <f>COUNTIFS('Onboarding Base'!$H:$H, $A5, 'Onboarding Base'!$J:$J, B$1, 'Onboarding Base'!$P:$P, "N")</f>
        <v/>
      </c>
      <c r="E5" s="8">
        <f>IFERROR(C5/B5,100%)</f>
        <v/>
      </c>
      <c r="F5" s="7">
        <f>COUNTIFS('Onboarding Base'!$H:$H, $A5, 'Onboarding Base'!$J:$J, F$1)</f>
        <v/>
      </c>
      <c r="G5" s="7">
        <f>COUNTIFS('Onboarding Base'!$H:$H, $A5, 'Onboarding Base'!$J:$J, F$1, 'Onboarding Base'!$P:$P, "Y")</f>
        <v/>
      </c>
      <c r="H5" s="7">
        <f>COUNTIFS('Onboarding Base'!$H:$H, $A5, 'Onboarding Base'!$J:$J, F$1, 'Onboarding Base'!$P:$P, "N")</f>
        <v/>
      </c>
      <c r="I5" s="8">
        <f>IFERROR(G5/F5,100%)</f>
        <v/>
      </c>
      <c r="J5" s="7">
        <f>'Hyperverge - DC'!C5</f>
        <v/>
      </c>
      <c r="K5" s="7">
        <f>'Hyperverge - DC'!E5</f>
        <v/>
      </c>
    </row>
    <row r="6" ht="15" customHeight="1">
      <c r="A6" s="6" t="inlineStr">
        <is>
          <t>ONE NCR DC</t>
        </is>
      </c>
      <c r="B6" s="7">
        <f>COUNTIFS('Onboarding Base'!$H:$H, $A6, 'Onboarding Base'!$J:$J, B$1)</f>
        <v/>
      </c>
      <c r="C6" s="7">
        <f>COUNTIFS('Onboarding Base'!$H:$H, $A6, 'Onboarding Base'!$J:$J, B$1, 'Onboarding Base'!$P:$P, "Y")</f>
        <v/>
      </c>
      <c r="D6" s="7">
        <f>COUNTIFS('Onboarding Base'!$H:$H, $A6, 'Onboarding Base'!$J:$J, B$1, 'Onboarding Base'!$P:$P, "N")</f>
        <v/>
      </c>
      <c r="E6" s="8">
        <f>IFERROR(C6/B6,100%)</f>
        <v/>
      </c>
      <c r="F6" s="7">
        <f>COUNTIFS('Onboarding Base'!$H:$H, $A6, 'Onboarding Base'!$J:$J, F$1)</f>
        <v/>
      </c>
      <c r="G6" s="7">
        <f>COUNTIFS('Onboarding Base'!$H:$H, $A6, 'Onboarding Base'!$J:$J, F$1, 'Onboarding Base'!$P:$P, "Y")</f>
        <v/>
      </c>
      <c r="H6" s="7">
        <f>COUNTIFS('Onboarding Base'!$H:$H, $A6, 'Onboarding Base'!$J:$J, F$1, 'Onboarding Base'!$P:$P, "N")</f>
        <v/>
      </c>
      <c r="I6" s="8">
        <f>IFERROR(G6/F6,100%)</f>
        <v/>
      </c>
      <c r="J6" s="7">
        <f>'Hyperverge - DC'!C6</f>
        <v/>
      </c>
      <c r="K6" s="7">
        <f>'Hyperverge - DC'!E6</f>
        <v/>
      </c>
    </row>
    <row r="7" ht="15" customHeight="1">
      <c r="A7" s="6" t="inlineStr">
        <is>
          <t>NCR Bilaspur DC</t>
        </is>
      </c>
      <c r="B7" s="7">
        <f>COUNTIFS('Onboarding Base'!$H:$H, $A7, 'Onboarding Base'!$J:$J, B$1)</f>
        <v/>
      </c>
      <c r="C7" s="7">
        <f>COUNTIFS('Onboarding Base'!$H:$H, $A7, 'Onboarding Base'!$J:$J, B$1, 'Onboarding Base'!$P:$P, "Y")</f>
        <v/>
      </c>
      <c r="D7" s="7">
        <f>COUNTIFS('Onboarding Base'!$H:$H, $A7, 'Onboarding Base'!$J:$J, B$1, 'Onboarding Base'!$P:$P, "N")</f>
        <v/>
      </c>
      <c r="E7" s="8">
        <f>IFERROR(C7/B7,100%)</f>
        <v/>
      </c>
      <c r="F7" s="7">
        <f>COUNTIFS('Onboarding Base'!$H:$H, $A7, 'Onboarding Base'!$J:$J, F$1)</f>
        <v/>
      </c>
      <c r="G7" s="7">
        <f>COUNTIFS('Onboarding Base'!$H:$H, $A7, 'Onboarding Base'!$J:$J, F$1, 'Onboarding Base'!$P:$P, "Y")</f>
        <v/>
      </c>
      <c r="H7" s="7">
        <f>COUNTIFS('Onboarding Base'!$H:$H, $A7, 'Onboarding Base'!$J:$J, F$1, 'Onboarding Base'!$P:$P, "N")</f>
        <v/>
      </c>
      <c r="I7" s="8">
        <f>IFERROR(G7/F7,100%)</f>
        <v/>
      </c>
      <c r="J7" s="7">
        <f>'Hyperverge - DC'!C7</f>
        <v/>
      </c>
      <c r="K7" s="7">
        <f>'Hyperverge - DC'!E7</f>
        <v/>
      </c>
    </row>
    <row r="8" ht="15" customHeight="1">
      <c r="A8" s="6" t="inlineStr">
        <is>
          <t>Lucknow DC</t>
        </is>
      </c>
      <c r="B8" s="7">
        <f>COUNTIFS('Onboarding Base'!$H:$H, $A8, 'Onboarding Base'!$J:$J, B$1)</f>
        <v/>
      </c>
      <c r="C8" s="7">
        <f>COUNTIFS('Onboarding Base'!$H:$H, $A8, 'Onboarding Base'!$J:$J, B$1, 'Onboarding Base'!$P:$P, "Y")</f>
        <v/>
      </c>
      <c r="D8" s="7">
        <f>COUNTIFS('Onboarding Base'!$H:$H, $A8, 'Onboarding Base'!$J:$J, B$1, 'Onboarding Base'!$P:$P, "N")</f>
        <v/>
      </c>
      <c r="E8" s="8">
        <f>IFERROR(C8/B8,100%)</f>
        <v/>
      </c>
      <c r="F8" s="7">
        <f>COUNTIFS('Onboarding Base'!$H:$H, $A8, 'Onboarding Base'!$J:$J, F$1)</f>
        <v/>
      </c>
      <c r="G8" s="7">
        <f>COUNTIFS('Onboarding Base'!$H:$H, $A8, 'Onboarding Base'!$J:$J, F$1, 'Onboarding Base'!$P:$P, "Y")</f>
        <v/>
      </c>
      <c r="H8" s="7">
        <f>COUNTIFS('Onboarding Base'!$H:$H, $A8, 'Onboarding Base'!$J:$J, F$1, 'Onboarding Base'!$P:$P, "N")</f>
        <v/>
      </c>
      <c r="I8" s="8">
        <f>IFERROR(G8/F8,100%)</f>
        <v/>
      </c>
      <c r="J8" s="7">
        <f>'Hyperverge - DC'!C8</f>
        <v/>
      </c>
      <c r="K8" s="7">
        <f>'Hyperverge - DC'!E8</f>
        <v/>
      </c>
    </row>
    <row r="9" ht="15" customHeight="1">
      <c r="A9" s="6" t="inlineStr">
        <is>
          <t>Surat DC</t>
        </is>
      </c>
      <c r="B9" s="7">
        <f>COUNTIFS('Onboarding Base'!$H:$H, $A9, 'Onboarding Base'!$J:$J, B$1)</f>
        <v/>
      </c>
      <c r="C9" s="7">
        <f>COUNTIFS('Onboarding Base'!$H:$H, $A9, 'Onboarding Base'!$J:$J, B$1, 'Onboarding Base'!$P:$P, "Y")</f>
        <v/>
      </c>
      <c r="D9" s="7">
        <f>COUNTIFS('Onboarding Base'!$H:$H, $A9, 'Onboarding Base'!$J:$J, B$1, 'Onboarding Base'!$P:$P, "N")</f>
        <v/>
      </c>
      <c r="E9" s="8">
        <f>IFERROR(C9/B9,100%)</f>
        <v/>
      </c>
      <c r="F9" s="7">
        <f>COUNTIFS('Onboarding Base'!$H:$H, $A9, 'Onboarding Base'!$J:$J, F$1)</f>
        <v/>
      </c>
      <c r="G9" s="7">
        <f>COUNTIFS('Onboarding Base'!$H:$H, $A9, 'Onboarding Base'!$J:$J, F$1, 'Onboarding Base'!$P:$P, "Y")</f>
        <v/>
      </c>
      <c r="H9" s="7">
        <f>COUNTIFS('Onboarding Base'!$H:$H, $A9, 'Onboarding Base'!$J:$J, F$1, 'Onboarding Base'!$P:$P, "N")</f>
        <v/>
      </c>
      <c r="I9" s="8">
        <f>IFERROR(G9/F9,100%)</f>
        <v/>
      </c>
      <c r="J9" s="7">
        <f>'Hyperverge - DC'!C9</f>
        <v/>
      </c>
      <c r="K9" s="7">
        <f>'Hyperverge - DC'!E9</f>
        <v/>
      </c>
    </row>
    <row r="10" ht="15" customHeight="1">
      <c r="A10" s="6" t="inlineStr">
        <is>
          <t>Ahmedabad DC</t>
        </is>
      </c>
      <c r="B10" s="7">
        <f>COUNTIFS('Onboarding Base'!$H:$H, $A10, 'Onboarding Base'!$J:$J, B$1)</f>
        <v/>
      </c>
      <c r="C10" s="7">
        <f>COUNTIFS('Onboarding Base'!$H:$H, $A10, 'Onboarding Base'!$J:$J, B$1, 'Onboarding Base'!$P:$P, "Y")</f>
        <v/>
      </c>
      <c r="D10" s="7">
        <f>COUNTIFS('Onboarding Base'!$H:$H, $A10, 'Onboarding Base'!$J:$J, B$1, 'Onboarding Base'!$P:$P, "N")</f>
        <v/>
      </c>
      <c r="E10" s="8">
        <f>IFERROR(C10/B10,100%)</f>
        <v/>
      </c>
      <c r="F10" s="7">
        <f>COUNTIFS('Onboarding Base'!$H:$H, $A10, 'Onboarding Base'!$J:$J, F$1)</f>
        <v/>
      </c>
      <c r="G10" s="7">
        <f>COUNTIFS('Onboarding Base'!$H:$H, $A10, 'Onboarding Base'!$J:$J, F$1, 'Onboarding Base'!$P:$P, "Y")</f>
        <v/>
      </c>
      <c r="H10" s="7">
        <f>COUNTIFS('Onboarding Base'!$H:$H, $A10, 'Onboarding Base'!$J:$J, F$1, 'Onboarding Base'!$P:$P, "N")</f>
        <v/>
      </c>
      <c r="I10" s="8">
        <f>IFERROR(G10/F10,100%)</f>
        <v/>
      </c>
      <c r="J10" s="7">
        <f>'Hyperverge - DC'!C10</f>
        <v/>
      </c>
      <c r="K10" s="7">
        <f>'Hyperverge - DC'!E10</f>
        <v/>
      </c>
    </row>
    <row r="11" ht="15" customHeight="1">
      <c r="A11" s="6" t="inlineStr">
        <is>
          <t>NCR Bamnoli DC</t>
        </is>
      </c>
      <c r="B11" s="7">
        <f>COUNTIFS('Onboarding Base'!$H:$H, $A11, 'Onboarding Base'!$J:$J, B$1)</f>
        <v/>
      </c>
      <c r="C11" s="7">
        <f>COUNTIFS('Onboarding Base'!$H:$H, $A11, 'Onboarding Base'!$J:$J, B$1, 'Onboarding Base'!$P:$P, "Y")</f>
        <v/>
      </c>
      <c r="D11" s="7">
        <f>COUNTIFS('Onboarding Base'!$H:$H, $A11, 'Onboarding Base'!$J:$J, B$1, 'Onboarding Base'!$P:$P, "N")</f>
        <v/>
      </c>
      <c r="E11" s="8">
        <f>IFERROR(C11/B11,100%)</f>
        <v/>
      </c>
      <c r="F11" s="7">
        <f>COUNTIFS('Onboarding Base'!$H:$H, $A11, 'Onboarding Base'!$J:$J, F$1)</f>
        <v/>
      </c>
      <c r="G11" s="7">
        <f>COUNTIFS('Onboarding Base'!$H:$H, $A11, 'Onboarding Base'!$J:$J, F$1, 'Onboarding Base'!$P:$P, "Y")</f>
        <v/>
      </c>
      <c r="H11" s="7">
        <f>COUNTIFS('Onboarding Base'!$H:$H, $A11, 'Onboarding Base'!$J:$J, F$1, 'Onboarding Base'!$P:$P, "N")</f>
        <v/>
      </c>
      <c r="I11" s="8">
        <f>IFERROR(G11/F11,100%)</f>
        <v/>
      </c>
      <c r="J11" s="7">
        <f>'Hyperverge - DC'!C11</f>
        <v/>
      </c>
      <c r="K11" s="7">
        <f>'Hyperverge - DC'!E11</f>
        <v/>
      </c>
    </row>
    <row r="12" ht="15" customHeight="1">
      <c r="A12" s="6" t="inlineStr">
        <is>
          <t>Kolkata DC</t>
        </is>
      </c>
      <c r="B12" s="7">
        <f>COUNTIFS('Onboarding Base'!$H:$H, $A12, 'Onboarding Base'!$J:$J, B$1)</f>
        <v/>
      </c>
      <c r="C12" s="7">
        <f>COUNTIFS('Onboarding Base'!$H:$H, $A12, 'Onboarding Base'!$J:$J, B$1, 'Onboarding Base'!$P:$P, "Y")</f>
        <v/>
      </c>
      <c r="D12" s="7">
        <f>COUNTIFS('Onboarding Base'!$H:$H, $A12, 'Onboarding Base'!$J:$J, B$1, 'Onboarding Base'!$P:$P, "N")</f>
        <v/>
      </c>
      <c r="E12" s="8">
        <f>IFERROR(C12/B12,100%)</f>
        <v/>
      </c>
      <c r="F12" s="7">
        <f>COUNTIFS('Onboarding Base'!$H:$H, $A12, 'Onboarding Base'!$J:$J, F$1)</f>
        <v/>
      </c>
      <c r="G12" s="7">
        <f>COUNTIFS('Onboarding Base'!$H:$H, $A12, 'Onboarding Base'!$J:$J, F$1, 'Onboarding Base'!$P:$P, "Y")</f>
        <v/>
      </c>
      <c r="H12" s="7">
        <f>COUNTIFS('Onboarding Base'!$H:$H, $A12, 'Onboarding Base'!$J:$J, F$1, 'Onboarding Base'!$P:$P, "N")</f>
        <v/>
      </c>
      <c r="I12" s="8">
        <f>IFERROR(G12/F12,100%)</f>
        <v/>
      </c>
      <c r="J12" s="7">
        <f>'Hyperverge - DC'!C12</f>
        <v/>
      </c>
      <c r="K12" s="7">
        <f>'Hyperverge - DC'!E12</f>
        <v/>
      </c>
    </row>
    <row r="13" ht="15" customHeight="1">
      <c r="A13" s="6" t="inlineStr">
        <is>
          <t>Mumbai DC</t>
        </is>
      </c>
      <c r="B13" s="7">
        <f>COUNTIFS('Onboarding Base'!$H:$H, $A13, 'Onboarding Base'!$J:$J, B$1)</f>
        <v/>
      </c>
      <c r="C13" s="7">
        <f>COUNTIFS('Onboarding Base'!$H:$H, $A13, 'Onboarding Base'!$J:$J, B$1, 'Onboarding Base'!$P:$P, "Y")</f>
        <v/>
      </c>
      <c r="D13" s="7">
        <f>COUNTIFS('Onboarding Base'!$H:$H, $A13, 'Onboarding Base'!$J:$J, B$1, 'Onboarding Base'!$P:$P, "N")</f>
        <v/>
      </c>
      <c r="E13" s="8">
        <f>IFERROR(C13/B13,100%)</f>
        <v/>
      </c>
      <c r="F13" s="7">
        <f>COUNTIFS('Onboarding Base'!$H:$H, $A13, 'Onboarding Base'!$J:$J, F$1)</f>
        <v/>
      </c>
      <c r="G13" s="7">
        <f>COUNTIFS('Onboarding Base'!$H:$H, $A13, 'Onboarding Base'!$J:$J, F$1, 'Onboarding Base'!$P:$P, "Y")</f>
        <v/>
      </c>
      <c r="H13" s="7">
        <f>COUNTIFS('Onboarding Base'!$H:$H, $A13, 'Onboarding Base'!$J:$J, F$1, 'Onboarding Base'!$P:$P, "N")</f>
        <v/>
      </c>
      <c r="I13" s="8">
        <f>IFERROR(G13/F13,100%)</f>
        <v/>
      </c>
      <c r="J13" s="7">
        <f>'Hyperverge - DC'!C13</f>
        <v/>
      </c>
      <c r="K13" s="7">
        <f>'Hyperverge - DC'!E13</f>
        <v/>
      </c>
    </row>
    <row r="14" ht="15" customHeight="1">
      <c r="A14" s="6" t="inlineStr">
        <is>
          <t>Jaipur DC</t>
        </is>
      </c>
      <c r="B14" s="7">
        <f>COUNTIFS('Onboarding Base'!$H:$H, $A14, 'Onboarding Base'!$J:$J, B$1)</f>
        <v/>
      </c>
      <c r="C14" s="7">
        <f>COUNTIFS('Onboarding Base'!$H:$H, $A14, 'Onboarding Base'!$J:$J, B$1, 'Onboarding Base'!$P:$P, "Y")</f>
        <v/>
      </c>
      <c r="D14" s="7">
        <f>COUNTIFS('Onboarding Base'!$H:$H, $A14, 'Onboarding Base'!$J:$J, B$1, 'Onboarding Base'!$P:$P, "N")</f>
        <v/>
      </c>
      <c r="E14" s="8">
        <f>IFERROR(C14/B14,100%)</f>
        <v/>
      </c>
      <c r="F14" s="7">
        <f>COUNTIFS('Onboarding Base'!$H:$H, $A14, 'Onboarding Base'!$J:$J, F$1)</f>
        <v/>
      </c>
      <c r="G14" s="7">
        <f>COUNTIFS('Onboarding Base'!$H:$H, $A14, 'Onboarding Base'!$J:$J, F$1, 'Onboarding Base'!$P:$P, "Y")</f>
        <v/>
      </c>
      <c r="H14" s="7">
        <f>COUNTIFS('Onboarding Base'!$H:$H, $A14, 'Onboarding Base'!$J:$J, F$1, 'Onboarding Base'!$P:$P, "N")</f>
        <v/>
      </c>
      <c r="I14" s="8">
        <f>IFERROR(G14/F14,100%)</f>
        <v/>
      </c>
      <c r="J14" s="7">
        <f>'Hyperverge - DC'!C14</f>
        <v/>
      </c>
      <c r="K14" s="7">
        <f>'Hyperverge - DC'!E14</f>
        <v/>
      </c>
    </row>
    <row r="15" ht="15" customHeight="1">
      <c r="A15" s="6" t="inlineStr">
        <is>
          <t>Hyderabad REV DC</t>
        </is>
      </c>
      <c r="B15" s="7">
        <f>COUNTIFS('Onboarding Base'!$H:$H, $A15, 'Onboarding Base'!$J:$J, B$1)</f>
        <v/>
      </c>
      <c r="C15" s="7">
        <f>COUNTIFS('Onboarding Base'!$H:$H, $A15, 'Onboarding Base'!$J:$J, B$1, 'Onboarding Base'!$P:$P, "Y")</f>
        <v/>
      </c>
      <c r="D15" s="7">
        <f>COUNTIFS('Onboarding Base'!$H:$H, $A15, 'Onboarding Base'!$J:$J, B$1, 'Onboarding Base'!$P:$P, "N")</f>
        <v/>
      </c>
      <c r="E15" s="8">
        <f>IFERROR(C15/B15,100%)</f>
        <v/>
      </c>
      <c r="F15" s="7">
        <f>COUNTIFS('Onboarding Base'!$H:$H, $A15, 'Onboarding Base'!$J:$J, F$1)</f>
        <v/>
      </c>
      <c r="G15" s="7">
        <f>COUNTIFS('Onboarding Base'!$H:$H, $A15, 'Onboarding Base'!$J:$J, F$1, 'Onboarding Base'!$P:$P, "Y")</f>
        <v/>
      </c>
      <c r="H15" s="7">
        <f>COUNTIFS('Onboarding Base'!$H:$H, $A15, 'Onboarding Base'!$J:$J, F$1, 'Onboarding Base'!$P:$P, "N")</f>
        <v/>
      </c>
      <c r="I15" s="8">
        <f>IFERROR(G15/F15,100%)</f>
        <v/>
      </c>
      <c r="J15" s="7">
        <f>'Hyperverge - DC'!C15</f>
        <v/>
      </c>
      <c r="K15" s="7">
        <f>'Hyperverge - DC'!E15</f>
        <v/>
      </c>
    </row>
    <row r="16" ht="15" customHeight="1">
      <c r="A16" s="6" t="inlineStr">
        <is>
          <t>Nagpur DC</t>
        </is>
      </c>
      <c r="B16" s="7">
        <f>COUNTIFS('Onboarding Base'!$H:$H, $A16, 'Onboarding Base'!$J:$J, B$1)</f>
        <v/>
      </c>
      <c r="C16" s="7">
        <f>COUNTIFS('Onboarding Base'!$H:$H, $A16, 'Onboarding Base'!$J:$J, B$1, 'Onboarding Base'!$P:$P, "Y")</f>
        <v/>
      </c>
      <c r="D16" s="7">
        <f>COUNTIFS('Onboarding Base'!$H:$H, $A16, 'Onboarding Base'!$J:$J, B$1, 'Onboarding Base'!$P:$P, "N")</f>
        <v/>
      </c>
      <c r="E16" s="8">
        <f>IFERROR(C16/B16,100%)</f>
        <v/>
      </c>
      <c r="F16" s="7">
        <f>COUNTIFS('Onboarding Base'!$H:$H, $A16, 'Onboarding Base'!$J:$J, F$1)</f>
        <v/>
      </c>
      <c r="G16" s="7">
        <f>COUNTIFS('Onboarding Base'!$H:$H, $A16, 'Onboarding Base'!$J:$J, F$1, 'Onboarding Base'!$P:$P, "Y")</f>
        <v/>
      </c>
      <c r="H16" s="7">
        <f>COUNTIFS('Onboarding Base'!$H:$H, $A16, 'Onboarding Base'!$J:$J, F$1, 'Onboarding Base'!$P:$P, "N")</f>
        <v/>
      </c>
      <c r="I16" s="8">
        <f>IFERROR(G16/F16,100%)</f>
        <v/>
      </c>
      <c r="J16" s="7">
        <f>'Hyperverge - DC'!C16</f>
        <v/>
      </c>
      <c r="K16" s="7">
        <f>'Hyperverge - DC'!E16</f>
        <v/>
      </c>
    </row>
    <row r="17" ht="15" customHeight="1">
      <c r="A17" s="6" t="inlineStr">
        <is>
          <t>Noida DC</t>
        </is>
      </c>
      <c r="B17" s="7">
        <f>COUNTIFS('Onboarding Base'!$H:$H, $A17, 'Onboarding Base'!$J:$J, B$1)</f>
        <v/>
      </c>
      <c r="C17" s="7">
        <f>COUNTIFS('Onboarding Base'!$H:$H, $A17, 'Onboarding Base'!$J:$J, B$1, 'Onboarding Base'!$P:$P, "Y")</f>
        <v/>
      </c>
      <c r="D17" s="7">
        <f>COUNTIFS('Onboarding Base'!$H:$H, $A17, 'Onboarding Base'!$J:$J, B$1, 'Onboarding Base'!$P:$P, "N")</f>
        <v/>
      </c>
      <c r="E17" s="8">
        <f>IFERROR(C17/B17,100%)</f>
        <v/>
      </c>
      <c r="F17" s="7">
        <f>COUNTIFS('Onboarding Base'!$H:$H, $A17, 'Onboarding Base'!$J:$J, F$1)</f>
        <v/>
      </c>
      <c r="G17" s="7">
        <f>COUNTIFS('Onboarding Base'!$H:$H, $A17, 'Onboarding Base'!$J:$J, F$1, 'Onboarding Base'!$P:$P, "Y")</f>
        <v/>
      </c>
      <c r="H17" s="7">
        <f>COUNTIFS('Onboarding Base'!$H:$H, $A17, 'Onboarding Base'!$J:$J, F$1, 'Onboarding Base'!$P:$P, "N")</f>
        <v/>
      </c>
      <c r="I17" s="8">
        <f>IFERROR(G17/F17,100%)</f>
        <v/>
      </c>
      <c r="J17" s="7">
        <f>'Hyperverge - DC'!C17</f>
        <v/>
      </c>
      <c r="K17" s="7">
        <f>'Hyperverge - DC'!E17</f>
        <v/>
      </c>
    </row>
    <row r="18" ht="15" customHeight="1">
      <c r="A18" s="6" t="inlineStr">
        <is>
          <t>Chandigarh DC</t>
        </is>
      </c>
      <c r="B18" s="7">
        <f>COUNTIFS('Onboarding Base'!$H:$H, $A18, 'Onboarding Base'!$J:$J, B$1)</f>
        <v/>
      </c>
      <c r="C18" s="7">
        <f>COUNTIFS('Onboarding Base'!$H:$H, $A18, 'Onboarding Base'!$J:$J, B$1, 'Onboarding Base'!$P:$P, "Y")</f>
        <v/>
      </c>
      <c r="D18" s="7">
        <f>COUNTIFS('Onboarding Base'!$H:$H, $A18, 'Onboarding Base'!$J:$J, B$1, 'Onboarding Base'!$P:$P, "N")</f>
        <v/>
      </c>
      <c r="E18" s="8">
        <f>IFERROR(C18/B18,100%)</f>
        <v/>
      </c>
      <c r="F18" s="7">
        <f>COUNTIFS('Onboarding Base'!$H:$H, $A18, 'Onboarding Base'!$J:$J, F$1)</f>
        <v/>
      </c>
      <c r="G18" s="7">
        <f>COUNTIFS('Onboarding Base'!$H:$H, $A18, 'Onboarding Base'!$J:$J, F$1, 'Onboarding Base'!$P:$P, "Y")</f>
        <v/>
      </c>
      <c r="H18" s="7">
        <f>COUNTIFS('Onboarding Base'!$H:$H, $A18, 'Onboarding Base'!$J:$J, F$1, 'Onboarding Base'!$P:$P, "N")</f>
        <v/>
      </c>
      <c r="I18" s="8">
        <f>IFERROR(G18/F18,100%)</f>
        <v/>
      </c>
      <c r="J18" s="7">
        <f>'Hyperverge - DC'!C18</f>
        <v/>
      </c>
      <c r="K18" s="7">
        <f>'Hyperverge - DC'!E18</f>
        <v/>
      </c>
    </row>
    <row r="19" ht="15" customHeight="1">
      <c r="A19" s="6" t="inlineStr">
        <is>
          <t>Gorakhpur DC</t>
        </is>
      </c>
      <c r="B19" s="7">
        <f>COUNTIFS('Onboarding Base'!$H:$H, $A19, 'Onboarding Base'!$J:$J, B$1)</f>
        <v/>
      </c>
      <c r="C19" s="7">
        <f>COUNTIFS('Onboarding Base'!$H:$H, $A19, 'Onboarding Base'!$J:$J, B$1, 'Onboarding Base'!$P:$P, "Y")</f>
        <v/>
      </c>
      <c r="D19" s="7">
        <f>COUNTIFS('Onboarding Base'!$H:$H, $A19, 'Onboarding Base'!$J:$J, B$1, 'Onboarding Base'!$P:$P, "N")</f>
        <v/>
      </c>
      <c r="E19" s="8">
        <f>IFERROR(C19/B19,100%)</f>
        <v/>
      </c>
      <c r="F19" s="7">
        <f>COUNTIFS('Onboarding Base'!$H:$H, $A19, 'Onboarding Base'!$J:$J, F$1)</f>
        <v/>
      </c>
      <c r="G19" s="7">
        <f>COUNTIFS('Onboarding Base'!$H:$H, $A19, 'Onboarding Base'!$J:$J, F$1, 'Onboarding Base'!$P:$P, "Y")</f>
        <v/>
      </c>
      <c r="H19" s="7">
        <f>COUNTIFS('Onboarding Base'!$H:$H, $A19, 'Onboarding Base'!$J:$J, F$1, 'Onboarding Base'!$P:$P, "N")</f>
        <v/>
      </c>
      <c r="I19" s="8">
        <f>IFERROR(G19/F19,100%)</f>
        <v/>
      </c>
      <c r="J19" s="7">
        <f>'Hyperverge - DC'!C19</f>
        <v/>
      </c>
      <c r="K19" s="7">
        <f>'Hyperverge - DC'!E19</f>
        <v/>
      </c>
    </row>
    <row r="20" ht="15" customHeight="1">
      <c r="A20" s="6" t="inlineStr">
        <is>
          <t>Guwahati DC</t>
        </is>
      </c>
      <c r="B20" s="7">
        <f>COUNTIFS('Onboarding Base'!$H:$H, $A20, 'Onboarding Base'!$J:$J, B$1)</f>
        <v/>
      </c>
      <c r="C20" s="7">
        <f>COUNTIFS('Onboarding Base'!$H:$H, $A20, 'Onboarding Base'!$J:$J, B$1, 'Onboarding Base'!$P:$P, "Y")</f>
        <v/>
      </c>
      <c r="D20" s="7">
        <f>COUNTIFS('Onboarding Base'!$H:$H, $A20, 'Onboarding Base'!$J:$J, B$1, 'Onboarding Base'!$P:$P, "N")</f>
        <v/>
      </c>
      <c r="E20" s="8">
        <f>IFERROR(C20/B20,100%)</f>
        <v/>
      </c>
      <c r="F20" s="7">
        <f>COUNTIFS('Onboarding Base'!$H:$H, $A20, 'Onboarding Base'!$J:$J, F$1)</f>
        <v/>
      </c>
      <c r="G20" s="7">
        <f>COUNTIFS('Onboarding Base'!$H:$H, $A20, 'Onboarding Base'!$J:$J, F$1, 'Onboarding Base'!$P:$P, "Y")</f>
        <v/>
      </c>
      <c r="H20" s="7">
        <f>COUNTIFS('Onboarding Base'!$H:$H, $A20, 'Onboarding Base'!$J:$J, F$1, 'Onboarding Base'!$P:$P, "N")</f>
        <v/>
      </c>
      <c r="I20" s="8">
        <f>IFERROR(G20/F20,100%)</f>
        <v/>
      </c>
      <c r="J20" s="7">
        <f>'Hyperverge - DC'!C20</f>
        <v/>
      </c>
      <c r="K20" s="7">
        <f>'Hyperverge - DC'!E20</f>
        <v/>
      </c>
    </row>
    <row r="21" ht="15" customHeight="1">
      <c r="A21" s="6" t="inlineStr">
        <is>
          <t>Chennai DC</t>
        </is>
      </c>
      <c r="B21" s="7">
        <f>COUNTIFS('Onboarding Base'!$H:$H, $A21, 'Onboarding Base'!$J:$J, B$1)</f>
        <v/>
      </c>
      <c r="C21" s="7">
        <f>COUNTIFS('Onboarding Base'!$H:$H, $A21, 'Onboarding Base'!$J:$J, B$1, 'Onboarding Base'!$P:$P, "Y")</f>
        <v/>
      </c>
      <c r="D21" s="7">
        <f>COUNTIFS('Onboarding Base'!$H:$H, $A21, 'Onboarding Base'!$J:$J, B$1, 'Onboarding Base'!$P:$P, "N")</f>
        <v/>
      </c>
      <c r="E21" s="8">
        <f>IFERROR(C21/B21,100%)</f>
        <v/>
      </c>
      <c r="F21" s="7">
        <f>COUNTIFS('Onboarding Base'!$H:$H, $A21, 'Onboarding Base'!$J:$J, F$1)</f>
        <v/>
      </c>
      <c r="G21" s="7">
        <f>COUNTIFS('Onboarding Base'!$H:$H, $A21, 'Onboarding Base'!$J:$J, F$1, 'Onboarding Base'!$P:$P, "Y")</f>
        <v/>
      </c>
      <c r="H21" s="7">
        <f>COUNTIFS('Onboarding Base'!$H:$H, $A21, 'Onboarding Base'!$J:$J, F$1, 'Onboarding Base'!$P:$P, "N")</f>
        <v/>
      </c>
      <c r="I21" s="8">
        <f>IFERROR(G21/F21,100%)</f>
        <v/>
      </c>
      <c r="J21" s="7">
        <f>'Hyperverge - DC'!C21</f>
        <v/>
      </c>
      <c r="K21" s="7">
        <f>'Hyperverge - DC'!E21</f>
        <v/>
      </c>
    </row>
    <row r="22" ht="15" customHeight="1">
      <c r="A22" s="6" t="inlineStr">
        <is>
          <t>Ludhiana DC</t>
        </is>
      </c>
      <c r="B22" s="7">
        <f>COUNTIFS('Onboarding Base'!$H:$H, $A22, 'Onboarding Base'!$J:$J, B$1)</f>
        <v/>
      </c>
      <c r="C22" s="7">
        <f>COUNTIFS('Onboarding Base'!$H:$H, $A22, 'Onboarding Base'!$J:$J, B$1, 'Onboarding Base'!$P:$P, "Y")</f>
        <v/>
      </c>
      <c r="D22" s="7">
        <f>COUNTIFS('Onboarding Base'!$H:$H, $A22, 'Onboarding Base'!$J:$J, B$1, 'Onboarding Base'!$P:$P, "N")</f>
        <v/>
      </c>
      <c r="E22" s="8">
        <f>IFERROR(C22/B22,100%)</f>
        <v/>
      </c>
      <c r="F22" s="7">
        <f>COUNTIFS('Onboarding Base'!$H:$H, $A22, 'Onboarding Base'!$J:$J, F$1)</f>
        <v/>
      </c>
      <c r="G22" s="7">
        <f>COUNTIFS('Onboarding Base'!$H:$H, $A22, 'Onboarding Base'!$J:$J, F$1, 'Onboarding Base'!$P:$P, "Y")</f>
        <v/>
      </c>
      <c r="H22" s="7">
        <f>COUNTIFS('Onboarding Base'!$H:$H, $A22, 'Onboarding Base'!$J:$J, F$1, 'Onboarding Base'!$P:$P, "N")</f>
        <v/>
      </c>
      <c r="I22" s="8">
        <f>IFERROR(G22/F22,100%)</f>
        <v/>
      </c>
      <c r="J22" s="7">
        <f>'Hyperverge - DC'!C22</f>
        <v/>
      </c>
      <c r="K22" s="7">
        <f>'Hyperverge - DC'!E22</f>
        <v/>
      </c>
    </row>
    <row r="23" ht="15" customHeight="1">
      <c r="A23" s="6" t="inlineStr">
        <is>
          <t>Patna DC</t>
        </is>
      </c>
      <c r="B23" s="7">
        <f>COUNTIFS('Onboarding Base'!$H:$H, $A23, 'Onboarding Base'!$J:$J, B$1)</f>
        <v/>
      </c>
      <c r="C23" s="7">
        <f>COUNTIFS('Onboarding Base'!$H:$H, $A23, 'Onboarding Base'!$J:$J, B$1, 'Onboarding Base'!$P:$P, "Y")</f>
        <v/>
      </c>
      <c r="D23" s="7">
        <f>COUNTIFS('Onboarding Base'!$H:$H, $A23, 'Onboarding Base'!$J:$J, B$1, 'Onboarding Base'!$P:$P, "N")</f>
        <v/>
      </c>
      <c r="E23" s="8">
        <f>IFERROR(C23/B23,100%)</f>
        <v/>
      </c>
      <c r="F23" s="7">
        <f>COUNTIFS('Onboarding Base'!$H:$H, $A23, 'Onboarding Base'!$J:$J, F$1)</f>
        <v/>
      </c>
      <c r="G23" s="7">
        <f>COUNTIFS('Onboarding Base'!$H:$H, $A23, 'Onboarding Base'!$J:$J, F$1, 'Onboarding Base'!$P:$P, "Y")</f>
        <v/>
      </c>
      <c r="H23" s="7">
        <f>COUNTIFS('Onboarding Base'!$H:$H, $A23, 'Onboarding Base'!$J:$J, F$1, 'Onboarding Base'!$P:$P, "N")</f>
        <v/>
      </c>
      <c r="I23" s="8">
        <f>IFERROR(G23/F23,100%)</f>
        <v/>
      </c>
      <c r="J23" s="7">
        <f>'Hyperverge - DC'!C23</f>
        <v/>
      </c>
      <c r="K23" s="7">
        <f>'Hyperverge - DC'!E23</f>
        <v/>
      </c>
    </row>
    <row r="24" ht="15" customHeight="1">
      <c r="A24" s="6" t="inlineStr">
        <is>
          <t>Ajmer DC</t>
        </is>
      </c>
      <c r="B24" s="7">
        <f>COUNTIFS('Onboarding Base'!$H:$H, $A24, 'Onboarding Base'!$J:$J, B$1)</f>
        <v/>
      </c>
      <c r="C24" s="7">
        <f>COUNTIFS('Onboarding Base'!$H:$H, $A24, 'Onboarding Base'!$J:$J, B$1, 'Onboarding Base'!$P:$P, "Y")</f>
        <v/>
      </c>
      <c r="D24" s="7">
        <f>COUNTIFS('Onboarding Base'!$H:$H, $A24, 'Onboarding Base'!$J:$J, B$1, 'Onboarding Base'!$P:$P, "N")</f>
        <v/>
      </c>
      <c r="E24" s="8">
        <f>IFERROR(C24/B24,100%)</f>
        <v/>
      </c>
      <c r="F24" s="7">
        <f>COUNTIFS('Onboarding Base'!$H:$H, $A24, 'Onboarding Base'!$J:$J, F$1)</f>
        <v/>
      </c>
      <c r="G24" s="7">
        <f>COUNTIFS('Onboarding Base'!$H:$H, $A24, 'Onboarding Base'!$J:$J, F$1, 'Onboarding Base'!$P:$P, "Y")</f>
        <v/>
      </c>
      <c r="H24" s="7">
        <f>COUNTIFS('Onboarding Base'!$H:$H, $A24, 'Onboarding Base'!$J:$J, F$1, 'Onboarding Base'!$P:$P, "N")</f>
        <v/>
      </c>
      <c r="I24" s="8">
        <f>IFERROR(G24/F24,100%)</f>
        <v/>
      </c>
      <c r="J24" s="7">
        <f>'Hyperverge - DC'!C24</f>
        <v/>
      </c>
      <c r="K24" s="7">
        <f>'Hyperverge - DC'!E24</f>
        <v/>
      </c>
    </row>
    <row r="25" ht="15" customHeight="1">
      <c r="A25" s="6" t="inlineStr">
        <is>
          <t>OneRJT DC</t>
        </is>
      </c>
      <c r="B25" s="7">
        <f>COUNTIFS('Onboarding Base'!$H:$H, $A25, 'Onboarding Base'!$J:$J, B$1)</f>
        <v/>
      </c>
      <c r="C25" s="7">
        <f>COUNTIFS('Onboarding Base'!$H:$H, $A25, 'Onboarding Base'!$J:$J, B$1, 'Onboarding Base'!$P:$P, "Y")</f>
        <v/>
      </c>
      <c r="D25" s="7">
        <f>COUNTIFS('Onboarding Base'!$H:$H, $A25, 'Onboarding Base'!$J:$J, B$1, 'Onboarding Base'!$P:$P, "N")</f>
        <v/>
      </c>
      <c r="E25" s="8">
        <f>IFERROR(C25/B25,100%)</f>
        <v/>
      </c>
      <c r="F25" s="7">
        <f>COUNTIFS('Onboarding Base'!$H:$H, $A25, 'Onboarding Base'!$J:$J, F$1)</f>
        <v/>
      </c>
      <c r="G25" s="7">
        <f>COUNTIFS('Onboarding Base'!$H:$H, $A25, 'Onboarding Base'!$J:$J, F$1, 'Onboarding Base'!$P:$P, "Y")</f>
        <v/>
      </c>
      <c r="H25" s="7">
        <f>COUNTIFS('Onboarding Base'!$H:$H, $A25, 'Onboarding Base'!$J:$J, F$1, 'Onboarding Base'!$P:$P, "N")</f>
        <v/>
      </c>
      <c r="I25" s="8">
        <f>IFERROR(G25/F25,100%)</f>
        <v/>
      </c>
      <c r="J25" s="7">
        <f>'Hyperverge - DC'!C25</f>
        <v/>
      </c>
      <c r="K25" s="7">
        <f>'Hyperverge - DC'!E25</f>
        <v/>
      </c>
    </row>
    <row r="26" ht="15" customHeight="1">
      <c r="A26" s="6" t="inlineStr">
        <is>
          <t>TwoNCR DC</t>
        </is>
      </c>
      <c r="B26" s="7">
        <f>COUNTIFS('Onboarding Base'!$H:$H, $A26, 'Onboarding Base'!$J:$J, B$1)</f>
        <v/>
      </c>
      <c r="C26" s="7">
        <f>COUNTIFS('Onboarding Base'!$H:$H, $A26, 'Onboarding Base'!$J:$J, B$1, 'Onboarding Base'!$P:$P, "Y")</f>
        <v/>
      </c>
      <c r="D26" s="7">
        <f>COUNTIFS('Onboarding Base'!$H:$H, $A26, 'Onboarding Base'!$J:$J, B$1, 'Onboarding Base'!$P:$P, "N")</f>
        <v/>
      </c>
      <c r="E26" s="8">
        <f>IFERROR(C26/B26,100%)</f>
        <v/>
      </c>
      <c r="F26" s="7">
        <f>COUNTIFS('Onboarding Base'!$H:$H, $A26, 'Onboarding Base'!$J:$J, F$1)</f>
        <v/>
      </c>
      <c r="G26" s="7">
        <f>COUNTIFS('Onboarding Base'!$H:$H, $A26, 'Onboarding Base'!$J:$J, F$1, 'Onboarding Base'!$P:$P, "Y")</f>
        <v/>
      </c>
      <c r="H26" s="7">
        <f>COUNTIFS('Onboarding Base'!$H:$H, $A26, 'Onboarding Base'!$J:$J, F$1, 'Onboarding Base'!$P:$P, "N")</f>
        <v/>
      </c>
      <c r="I26" s="8">
        <f>IFERROR(G26/F26,100%)</f>
        <v/>
      </c>
      <c r="J26" s="7">
        <f>'Hyperverge - DC'!C26</f>
        <v/>
      </c>
      <c r="K26" s="7">
        <f>'Hyperverge - DC'!E26</f>
        <v/>
      </c>
    </row>
    <row r="27" ht="15" customHeight="1">
      <c r="A27" s="6" t="inlineStr">
        <is>
          <t>OneSRT DC</t>
        </is>
      </c>
      <c r="B27" s="7">
        <f>COUNTIFS('Onboarding Base'!$H:$H, $A27, 'Onboarding Base'!$J:$J, B$1)</f>
        <v/>
      </c>
      <c r="C27" s="7">
        <f>COUNTIFS('Onboarding Base'!$H:$H, $A27, 'Onboarding Base'!$J:$J, B$1, 'Onboarding Base'!$P:$P, "Y")</f>
        <v/>
      </c>
      <c r="D27" s="7">
        <f>COUNTIFS('Onboarding Base'!$H:$H, $A27, 'Onboarding Base'!$J:$J, B$1, 'Onboarding Base'!$P:$P, "N")</f>
        <v/>
      </c>
      <c r="E27" s="8">
        <f>IFERROR(C27/B27,100%)</f>
        <v/>
      </c>
      <c r="F27" s="7">
        <f>COUNTIFS('Onboarding Base'!$H:$H, $A27, 'Onboarding Base'!$J:$J, F$1)</f>
        <v/>
      </c>
      <c r="G27" s="7">
        <f>COUNTIFS('Onboarding Base'!$H:$H, $A27, 'Onboarding Base'!$J:$J, F$1, 'Onboarding Base'!$P:$P, "Y")</f>
        <v/>
      </c>
      <c r="H27" s="7">
        <f>COUNTIFS('Onboarding Base'!$H:$H, $A27, 'Onboarding Base'!$J:$J, F$1, 'Onboarding Base'!$P:$P, "N")</f>
        <v/>
      </c>
      <c r="I27" s="8">
        <f>IFERROR(G27/F27,100%)</f>
        <v/>
      </c>
      <c r="J27" s="7">
        <f>'Hyperverge - DC'!C27</f>
        <v/>
      </c>
      <c r="K27" s="7">
        <f>'Hyperverge - DC'!E27</f>
        <v/>
      </c>
    </row>
    <row r="28" ht="15" customHeight="1">
      <c r="A28" s="6" t="inlineStr">
        <is>
          <t>One_AMD DC</t>
        </is>
      </c>
      <c r="B28" s="7">
        <f>COUNTIFS('Onboarding Base'!$H:$H, $A28, 'Onboarding Base'!$J:$J, B$1)</f>
        <v/>
      </c>
      <c r="C28" s="7">
        <f>COUNTIFS('Onboarding Base'!$H:$H, $A28, 'Onboarding Base'!$J:$J, B$1, 'Onboarding Base'!$P:$P, "Y")</f>
        <v/>
      </c>
      <c r="D28" s="7">
        <f>COUNTIFS('Onboarding Base'!$H:$H, $A28, 'Onboarding Base'!$J:$J, B$1, 'Onboarding Base'!$P:$P, "N")</f>
        <v/>
      </c>
      <c r="E28" s="8">
        <f>IFERROR(C28/B28,100%)</f>
        <v/>
      </c>
      <c r="F28" s="7">
        <f>COUNTIFS('Onboarding Base'!$H:$H, $A28, 'Onboarding Base'!$J:$J, F$1)</f>
        <v/>
      </c>
      <c r="G28" s="7">
        <f>COUNTIFS('Onboarding Base'!$H:$H, $A28, 'Onboarding Base'!$J:$J, F$1, 'Onboarding Base'!$P:$P, "Y")</f>
        <v/>
      </c>
      <c r="H28" s="7">
        <f>COUNTIFS('Onboarding Base'!$H:$H, $A28, 'Onboarding Base'!$J:$J, F$1, 'Onboarding Base'!$P:$P, "N")</f>
        <v/>
      </c>
      <c r="I28" s="8">
        <f>IFERROR(G28/F28,100%)</f>
        <v/>
      </c>
      <c r="J28" s="7">
        <f>'Hyperverge - DC'!C28</f>
        <v/>
      </c>
      <c r="K28" s="7">
        <f>'Hyperverge - DC'!E28</f>
        <v/>
      </c>
    </row>
    <row r="29" ht="15.75" customHeight="1">
      <c r="A29" s="9" t="inlineStr">
        <is>
          <t>Grand Total</t>
        </is>
      </c>
      <c r="B29" s="12">
        <f>SUM(B3:B28)</f>
        <v/>
      </c>
      <c r="C29" s="12">
        <f>SUM(C3:C28)</f>
        <v/>
      </c>
      <c r="D29" s="13">
        <f>SUM(D3:D28)</f>
        <v/>
      </c>
      <c r="E29" s="14">
        <f>IFERROR(C29/B29,100%)</f>
        <v/>
      </c>
      <c r="F29" s="12">
        <f>SUM(F3:F28)</f>
        <v/>
      </c>
      <c r="G29" s="12">
        <f>SUM(G3:G28)</f>
        <v/>
      </c>
      <c r="H29" s="13">
        <f>SUM(H3:H28)</f>
        <v/>
      </c>
      <c r="I29" s="14">
        <f>IFERROR(G29/F29,100%)</f>
        <v/>
      </c>
      <c r="J29" s="10">
        <f>SUM(J3:J28)</f>
        <v/>
      </c>
      <c r="K29" s="10">
        <f>SUM(K3:K28)</f>
        <v/>
      </c>
    </row>
    <row r="30" ht="15" customHeight="1"/>
  </sheetData>
  <mergeCells count="4">
    <mergeCell ref="J1:K1"/>
    <mergeCell ref="B1:E1"/>
    <mergeCell ref="F1:I1"/>
    <mergeCell ref="A1:A2"/>
  </mergeCells>
  <conditionalFormatting sqref="D3:D20">
    <cfRule type="cellIs" priority="38" operator="greaterThan" dxfId="0">
      <formula>0</formula>
    </cfRule>
  </conditionalFormatting>
  <conditionalFormatting sqref="E3:E2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20">
    <cfRule type="cellIs" priority="38" operator="greaterThan" dxfId="0">
      <formula>0</formula>
    </cfRule>
  </conditionalFormatting>
  <conditionalFormatting sqref="I3:I20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tabSelected="1" zoomScaleNormal="100" workbookViewId="0">
      <selection pane="topRight" activeCell="AM1" sqref="AM1"/>
      <selection pane="bottomLeft" activeCell="A3" sqref="A3"/>
      <selection pane="bottomRight" activeCell="BW33" sqref="BW33"/>
    </sheetView>
  </sheetViews>
  <sheetFormatPr baseColWidth="8" defaultColWidth="8.6640625" defaultRowHeight="14.4"/>
  <cols>
    <col width="18.109375" customWidth="1" min="1" max="1"/>
    <col width="15.77734375" bestFit="1" customWidth="1" min="2" max="2"/>
    <col width="9.6640625" bestFit="1" customWidth="1" min="3" max="3"/>
    <col width="13" customWidth="1" min="4" max="4"/>
    <col width="12.77734375" bestFit="1" customWidth="1" min="5" max="5"/>
    <col width="15.77734375" bestFit="1" customWidth="1" min="6" max="6"/>
    <col width="9.6640625" bestFit="1" customWidth="1" min="7" max="7"/>
    <col width="13" customWidth="1" min="8" max="8"/>
    <col width="12.77734375" bestFit="1" customWidth="1" min="9" max="9"/>
    <col width="9.6640625" bestFit="1" customWidth="1" min="10" max="10"/>
    <col width="13" customWidth="1" min="11" max="11"/>
  </cols>
  <sheetData>
    <row r="1" ht="15.75" customHeight="1">
      <c r="A1" s="36" t="inlineStr">
        <is>
          <t>Site</t>
        </is>
      </c>
      <c r="B1" s="40" t="n"/>
      <c r="C1" s="41" t="n"/>
      <c r="D1" s="41" t="n"/>
      <c r="E1" s="42" t="n"/>
      <c r="F1" s="40" t="n"/>
      <c r="G1" s="41" t="n"/>
      <c r="H1" s="41" t="n"/>
      <c r="I1" s="42" t="n"/>
      <c r="J1" s="43" t="inlineStr">
        <is>
          <t>Hyperverge Red</t>
        </is>
      </c>
      <c r="K1" s="42" t="n"/>
    </row>
    <row r="2" ht="26.25" customHeight="1">
      <c r="A2" s="44" t="n"/>
      <c r="B2" s="45" t="inlineStr">
        <is>
          <t>Total Onboarding</t>
        </is>
      </c>
      <c r="C2" s="45" t="inlineStr">
        <is>
          <t>Aadhar</t>
        </is>
      </c>
      <c r="D2" s="1" t="inlineStr">
        <is>
          <t>Manual</t>
        </is>
      </c>
      <c r="E2" s="4" t="inlineStr">
        <is>
          <t>Compliance %</t>
        </is>
      </c>
      <c r="F2" s="45" t="inlineStr">
        <is>
          <t>Total Onboarding</t>
        </is>
      </c>
      <c r="G2" s="45" t="inlineStr">
        <is>
          <t>Aadhar</t>
        </is>
      </c>
      <c r="H2" s="1" t="inlineStr">
        <is>
          <t>Manual</t>
        </is>
      </c>
      <c r="I2" s="4" t="inlineStr">
        <is>
          <t>Compliance %</t>
        </is>
      </c>
      <c r="J2" s="46">
        <f>B1</f>
        <v/>
      </c>
      <c r="K2" s="46">
        <f>F1</f>
        <v/>
      </c>
    </row>
    <row r="3" ht="15" customHeight="1">
      <c r="A3" s="6" t="inlineStr">
        <is>
          <t>Indore XD</t>
        </is>
      </c>
      <c r="B3" s="7">
        <f>COUNTIFS('Onboarding Base'!$H:$H, $A3, 'Onboarding Base'!$J:$J, B$1)</f>
        <v/>
      </c>
      <c r="C3" s="7">
        <f>COUNTIFS('Onboarding Base'!$H:$H, $A3, 'Onboarding Base'!$J:$J, B$1, 'Onboarding Base'!$P:$P, "Y")</f>
        <v/>
      </c>
      <c r="D3" s="7">
        <f>COUNTIFS('Onboarding Base'!$H:$H, $A3, 'Onboarding Base'!$J:$J, B$1, 'Onboarding Base'!$P:$P, "N")</f>
        <v/>
      </c>
      <c r="E3" s="8">
        <f>IFERROR(C3/B3,100%)</f>
        <v/>
      </c>
      <c r="F3" s="7">
        <f>COUNTIFS('Onboarding Base'!$H:$H, $A3, 'Onboarding Base'!$J:$J, F$1)</f>
        <v/>
      </c>
      <c r="G3" s="7">
        <f>COUNTIFS('Onboarding Base'!$H:$H, $A3, 'Onboarding Base'!$J:$J, F$1, 'Onboarding Base'!$P:$P, "Y")</f>
        <v/>
      </c>
      <c r="H3" s="7">
        <f>COUNTIFS('Onboarding Base'!$H:$H, $A3, 'Onboarding Base'!$J:$J, F$1, 'Onboarding Base'!$P:$P, "N")</f>
        <v/>
      </c>
      <c r="I3" s="8">
        <f>IFERROR(G3/F3,100%)</f>
        <v/>
      </c>
      <c r="J3" s="7">
        <f>'Hyperverge - XD'!C3</f>
        <v/>
      </c>
      <c r="K3" s="7">
        <f>'Hyperverge - XD'!E3</f>
        <v/>
      </c>
    </row>
    <row r="4" ht="15" customHeight="1">
      <c r="A4" s="6" t="inlineStr">
        <is>
          <t>BHUBANESWAR XD</t>
        </is>
      </c>
      <c r="B4" s="7">
        <f>COUNTIFS('Onboarding Base'!$H:$H, $A4, 'Onboarding Base'!$J:$J, B$1)</f>
        <v/>
      </c>
      <c r="C4" s="7">
        <f>COUNTIFS('Onboarding Base'!$H:$H, $A4, 'Onboarding Base'!$J:$J, B$1, 'Onboarding Base'!$P:$P, "Y")</f>
        <v/>
      </c>
      <c r="D4" s="7">
        <f>COUNTIFS('Onboarding Base'!$H:$H, $A4, 'Onboarding Base'!$J:$J, B$1, 'Onboarding Base'!$P:$P, "N")</f>
        <v/>
      </c>
      <c r="E4" s="8">
        <f>IFERROR(C4/B4,100%)</f>
        <v/>
      </c>
      <c r="F4" s="7">
        <f>COUNTIFS('Onboarding Base'!$H:$H, $A4, 'Onboarding Base'!$J:$J, F$1)</f>
        <v/>
      </c>
      <c r="G4" s="7">
        <f>COUNTIFS('Onboarding Base'!$H:$H, $A4, 'Onboarding Base'!$J:$J, F$1, 'Onboarding Base'!$P:$P, "Y")</f>
        <v/>
      </c>
      <c r="H4" s="7">
        <f>COUNTIFS('Onboarding Base'!$H:$H, $A4, 'Onboarding Base'!$J:$J, F$1, 'Onboarding Base'!$P:$P, "N")</f>
        <v/>
      </c>
      <c r="I4" s="8">
        <f>IFERROR(G4/F4,100%)</f>
        <v/>
      </c>
      <c r="J4" s="7">
        <f>'Hyperverge - XD'!C4</f>
        <v/>
      </c>
      <c r="K4" s="7">
        <f>'Hyperverge - XD'!E4</f>
        <v/>
      </c>
    </row>
    <row r="5" ht="15" customHeight="1">
      <c r="A5" s="6" t="inlineStr">
        <is>
          <t>Trichy XD</t>
        </is>
      </c>
      <c r="B5" s="7">
        <f>COUNTIFS('Onboarding Base'!$H:$H, $A5, 'Onboarding Base'!$J:$J, B$1)</f>
        <v/>
      </c>
      <c r="C5" s="7">
        <f>COUNTIFS('Onboarding Base'!$H:$H, $A5, 'Onboarding Base'!$J:$J, B$1, 'Onboarding Base'!$P:$P, "Y")</f>
        <v/>
      </c>
      <c r="D5" s="7">
        <f>COUNTIFS('Onboarding Base'!$H:$H, $A5, 'Onboarding Base'!$J:$J, B$1, 'Onboarding Base'!$P:$P, "N")</f>
        <v/>
      </c>
      <c r="E5" s="8">
        <f>IFERROR(C5/B5,100%)</f>
        <v/>
      </c>
      <c r="F5" s="7">
        <f>COUNTIFS('Onboarding Base'!$H:$H, $A5, 'Onboarding Base'!$J:$J, F$1)</f>
        <v/>
      </c>
      <c r="G5" s="7">
        <f>COUNTIFS('Onboarding Base'!$H:$H, $A5, 'Onboarding Base'!$J:$J, F$1, 'Onboarding Base'!$P:$P, "Y")</f>
        <v/>
      </c>
      <c r="H5" s="7">
        <f>COUNTIFS('Onboarding Base'!$H:$H, $A5, 'Onboarding Base'!$J:$J, F$1, 'Onboarding Base'!$P:$P, "N")</f>
        <v/>
      </c>
      <c r="I5" s="8">
        <f>IFERROR(G5/F5,100%)</f>
        <v/>
      </c>
      <c r="J5" s="7">
        <f>'Hyperverge - XD'!C5</f>
        <v/>
      </c>
      <c r="K5" s="7">
        <f>'Hyperverge - XD'!E5</f>
        <v/>
      </c>
    </row>
    <row r="6" ht="15" customHeight="1">
      <c r="A6" s="6" t="inlineStr">
        <is>
          <t>Pune XD</t>
        </is>
      </c>
      <c r="B6" s="7">
        <f>COUNTIFS('Onboarding Base'!$H:$H, $A6, 'Onboarding Base'!$J:$J, B$1)</f>
        <v/>
      </c>
      <c r="C6" s="7">
        <f>COUNTIFS('Onboarding Base'!$H:$H, $A6, 'Onboarding Base'!$J:$J, B$1, 'Onboarding Base'!$P:$P, "Y")</f>
        <v/>
      </c>
      <c r="D6" s="7">
        <f>COUNTIFS('Onboarding Base'!$H:$H, $A6, 'Onboarding Base'!$J:$J, B$1, 'Onboarding Base'!$P:$P, "N")</f>
        <v/>
      </c>
      <c r="E6" s="8">
        <f>IFERROR(C6/B6,100%)</f>
        <v/>
      </c>
      <c r="F6" s="7">
        <f>COUNTIFS('Onboarding Base'!$H:$H, $A6, 'Onboarding Base'!$J:$J, F$1)</f>
        <v/>
      </c>
      <c r="G6" s="7">
        <f>COUNTIFS('Onboarding Base'!$H:$H, $A6, 'Onboarding Base'!$J:$J, F$1, 'Onboarding Base'!$P:$P, "Y")</f>
        <v/>
      </c>
      <c r="H6" s="7">
        <f>COUNTIFS('Onboarding Base'!$H:$H, $A6, 'Onboarding Base'!$J:$J, F$1, 'Onboarding Base'!$P:$P, "N")</f>
        <v/>
      </c>
      <c r="I6" s="8">
        <f>IFERROR(G6/F6,100%)</f>
        <v/>
      </c>
      <c r="J6" s="7">
        <f>'Hyperverge - XD'!C6</f>
        <v/>
      </c>
      <c r="K6" s="7">
        <f>'Hyperverge - XD'!E6</f>
        <v/>
      </c>
    </row>
    <row r="7" ht="15" customHeight="1">
      <c r="A7" s="6" t="inlineStr">
        <is>
          <t>Ludhiana XD</t>
        </is>
      </c>
      <c r="B7" s="7">
        <f>COUNTIFS('Onboarding Base'!$H:$H, $A7, 'Onboarding Base'!$J:$J, B$1)</f>
        <v/>
      </c>
      <c r="C7" s="7">
        <f>COUNTIFS('Onboarding Base'!$H:$H, $A7, 'Onboarding Base'!$J:$J, B$1, 'Onboarding Base'!$P:$P, "Y")</f>
        <v/>
      </c>
      <c r="D7" s="7">
        <f>COUNTIFS('Onboarding Base'!$H:$H, $A7, 'Onboarding Base'!$J:$J, B$1, 'Onboarding Base'!$P:$P, "N")</f>
        <v/>
      </c>
      <c r="E7" s="8">
        <f>IFERROR(C7/B7,100%)</f>
        <v/>
      </c>
      <c r="F7" s="7">
        <f>COUNTIFS('Onboarding Base'!$H:$H, $A7, 'Onboarding Base'!$J:$J, F$1)</f>
        <v/>
      </c>
      <c r="G7" s="7">
        <f>COUNTIFS('Onboarding Base'!$H:$H, $A7, 'Onboarding Base'!$J:$J, F$1, 'Onboarding Base'!$P:$P, "Y")</f>
        <v/>
      </c>
      <c r="H7" s="7">
        <f>COUNTIFS('Onboarding Base'!$H:$H, $A7, 'Onboarding Base'!$J:$J, F$1, 'Onboarding Base'!$P:$P, "N")</f>
        <v/>
      </c>
      <c r="I7" s="8">
        <f>IFERROR(G7/F7,100%)</f>
        <v/>
      </c>
      <c r="J7" s="7">
        <f>'Hyperverge - XD'!C7</f>
        <v/>
      </c>
      <c r="K7" s="7">
        <f>'Hyperverge - XD'!E7</f>
        <v/>
      </c>
    </row>
    <row r="8" ht="15" customHeight="1">
      <c r="A8" s="6" t="inlineStr">
        <is>
          <t>Coimbatore XD</t>
        </is>
      </c>
      <c r="B8" s="7">
        <f>COUNTIFS('Onboarding Base'!$H:$H, $A8, 'Onboarding Base'!$J:$J, B$1)</f>
        <v/>
      </c>
      <c r="C8" s="7">
        <f>COUNTIFS('Onboarding Base'!$H:$H, $A8, 'Onboarding Base'!$J:$J, B$1, 'Onboarding Base'!$P:$P, "Y")</f>
        <v/>
      </c>
      <c r="D8" s="7">
        <f>COUNTIFS('Onboarding Base'!$H:$H, $A8, 'Onboarding Base'!$J:$J, B$1, 'Onboarding Base'!$P:$P, "N")</f>
        <v/>
      </c>
      <c r="E8" s="8">
        <f>IFERROR(C8/B8,100%)</f>
        <v/>
      </c>
      <c r="F8" s="7">
        <f>COUNTIFS('Onboarding Base'!$H:$H, $A8, 'Onboarding Base'!$J:$J, F$1)</f>
        <v/>
      </c>
      <c r="G8" s="7">
        <f>COUNTIFS('Onboarding Base'!$H:$H, $A8, 'Onboarding Base'!$J:$J, F$1, 'Onboarding Base'!$P:$P, "Y")</f>
        <v/>
      </c>
      <c r="H8" s="7">
        <f>COUNTIFS('Onboarding Base'!$H:$H, $A8, 'Onboarding Base'!$J:$J, F$1, 'Onboarding Base'!$P:$P, "N")</f>
        <v/>
      </c>
      <c r="I8" s="8">
        <f>IFERROR(G8/F8,100%)</f>
        <v/>
      </c>
      <c r="J8" s="7">
        <f>'Hyperverge - XD'!C8</f>
        <v/>
      </c>
      <c r="K8" s="7">
        <f>'Hyperverge - XD'!E8</f>
        <v/>
      </c>
    </row>
    <row r="9" ht="15" customHeight="1">
      <c r="A9" s="6" t="inlineStr">
        <is>
          <t>Ranchi XD</t>
        </is>
      </c>
      <c r="B9" s="7">
        <f>COUNTIFS('Onboarding Base'!$H:$H, $A9, 'Onboarding Base'!$J:$J, B$1)</f>
        <v/>
      </c>
      <c r="C9" s="7">
        <f>COUNTIFS('Onboarding Base'!$H:$H, $A9, 'Onboarding Base'!$J:$J, B$1, 'Onboarding Base'!$P:$P, "Y")</f>
        <v/>
      </c>
      <c r="D9" s="7">
        <f>COUNTIFS('Onboarding Base'!$H:$H, $A9, 'Onboarding Base'!$J:$J, B$1, 'Onboarding Base'!$P:$P, "N")</f>
        <v/>
      </c>
      <c r="E9" s="8">
        <f>IFERROR(C9/B9,100%)</f>
        <v/>
      </c>
      <c r="F9" s="7">
        <f>COUNTIFS('Onboarding Base'!$H:$H, $A9, 'Onboarding Base'!$J:$J, F$1)</f>
        <v/>
      </c>
      <c r="G9" s="7">
        <f>COUNTIFS('Onboarding Base'!$H:$H, $A9, 'Onboarding Base'!$J:$J, F$1, 'Onboarding Base'!$P:$P, "Y")</f>
        <v/>
      </c>
      <c r="H9" s="7">
        <f>COUNTIFS('Onboarding Base'!$H:$H, $A9, 'Onboarding Base'!$J:$J, F$1, 'Onboarding Base'!$P:$P, "N")</f>
        <v/>
      </c>
      <c r="I9" s="8">
        <f>IFERROR(G9/F9,100%)</f>
        <v/>
      </c>
      <c r="J9" s="7">
        <f>'Hyperverge - XD'!C9</f>
        <v/>
      </c>
      <c r="K9" s="7">
        <f>'Hyperverge - XD'!E9</f>
        <v/>
      </c>
    </row>
    <row r="10" ht="15" customHeight="1">
      <c r="A10" s="6" t="inlineStr">
        <is>
          <t>Kochi XD</t>
        </is>
      </c>
      <c r="B10" s="7">
        <f>COUNTIFS('Onboarding Base'!$H:$H, $A10, 'Onboarding Base'!$J:$J, B$1)</f>
        <v/>
      </c>
      <c r="C10" s="7">
        <f>COUNTIFS('Onboarding Base'!$H:$H, $A10, 'Onboarding Base'!$J:$J, B$1, 'Onboarding Base'!$P:$P, "Y")</f>
        <v/>
      </c>
      <c r="D10" s="7">
        <f>COUNTIFS('Onboarding Base'!$H:$H, $A10, 'Onboarding Base'!$J:$J, B$1, 'Onboarding Base'!$P:$P, "N")</f>
        <v/>
      </c>
      <c r="E10" s="8">
        <f>IFERROR(C10/B10,100%)</f>
        <v/>
      </c>
      <c r="F10" s="7">
        <f>COUNTIFS('Onboarding Base'!$H:$H, $A10, 'Onboarding Base'!$J:$J, F$1)</f>
        <v/>
      </c>
      <c r="G10" s="7">
        <f>COUNTIFS('Onboarding Base'!$H:$H, $A10, 'Onboarding Base'!$J:$J, F$1, 'Onboarding Base'!$P:$P, "Y")</f>
        <v/>
      </c>
      <c r="H10" s="7">
        <f>COUNTIFS('Onboarding Base'!$H:$H, $A10, 'Onboarding Base'!$J:$J, F$1, 'Onboarding Base'!$P:$P, "N")</f>
        <v/>
      </c>
      <c r="I10" s="8">
        <f>IFERROR(G10/F10,100%)</f>
        <v/>
      </c>
      <c r="J10" s="7">
        <f>'Hyperverge - XD'!C10</f>
        <v/>
      </c>
      <c r="K10" s="7">
        <f>'Hyperverge - XD'!E10</f>
        <v/>
      </c>
    </row>
    <row r="11" ht="15" customHeight="1">
      <c r="A11" s="6" t="inlineStr">
        <is>
          <t>Raipur XD</t>
        </is>
      </c>
      <c r="B11" s="7">
        <f>COUNTIFS('Onboarding Base'!$H:$H, $A11, 'Onboarding Base'!$J:$J, B$1)</f>
        <v/>
      </c>
      <c r="C11" s="7">
        <f>COUNTIFS('Onboarding Base'!$H:$H, $A11, 'Onboarding Base'!$J:$J, B$1, 'Onboarding Base'!$P:$P, "Y")</f>
        <v/>
      </c>
      <c r="D11" s="7">
        <f>COUNTIFS('Onboarding Base'!$H:$H, $A11, 'Onboarding Base'!$J:$J, B$1, 'Onboarding Base'!$P:$P, "N")</f>
        <v/>
      </c>
      <c r="E11" s="8">
        <f>IFERROR(C11/B11,100%)</f>
        <v/>
      </c>
      <c r="F11" s="7">
        <f>COUNTIFS('Onboarding Base'!$H:$H, $A11, 'Onboarding Base'!$J:$J, F$1)</f>
        <v/>
      </c>
      <c r="G11" s="7">
        <f>COUNTIFS('Onboarding Base'!$H:$H, $A11, 'Onboarding Base'!$J:$J, F$1, 'Onboarding Base'!$P:$P, "Y")</f>
        <v/>
      </c>
      <c r="H11" s="7">
        <f>COUNTIFS('Onboarding Base'!$H:$H, $A11, 'Onboarding Base'!$J:$J, F$1, 'Onboarding Base'!$P:$P, "N")</f>
        <v/>
      </c>
      <c r="I11" s="8">
        <f>IFERROR(G11/F11,100%)</f>
        <v/>
      </c>
      <c r="J11" s="7">
        <f>'Hyperverge - XD'!C11</f>
        <v/>
      </c>
      <c r="K11" s="7">
        <f>'Hyperverge - XD'!E11</f>
        <v/>
      </c>
    </row>
    <row r="12" ht="15" customHeight="1">
      <c r="A12" s="6" t="inlineStr">
        <is>
          <t>Vanaras XD</t>
        </is>
      </c>
      <c r="B12" s="7">
        <f>COUNTIFS('Onboarding Base'!$H:$H, $A12, 'Onboarding Base'!$J:$J, B$1)</f>
        <v/>
      </c>
      <c r="C12" s="7">
        <f>COUNTIFS('Onboarding Base'!$H:$H, $A12, 'Onboarding Base'!$J:$J, B$1, 'Onboarding Base'!$P:$P, "Y")</f>
        <v/>
      </c>
      <c r="D12" s="7">
        <f>COUNTIFS('Onboarding Base'!$H:$H, $A12, 'Onboarding Base'!$J:$J, B$1, 'Onboarding Base'!$P:$P, "N")</f>
        <v/>
      </c>
      <c r="E12" s="8">
        <f>IFERROR(C12/B12,100%)</f>
        <v/>
      </c>
      <c r="F12" s="7">
        <f>COUNTIFS('Onboarding Base'!$H:$H, $A12, 'Onboarding Base'!$J:$J, F$1)</f>
        <v/>
      </c>
      <c r="G12" s="7">
        <f>COUNTIFS('Onboarding Base'!$H:$H, $A12, 'Onboarding Base'!$J:$J, F$1, 'Onboarding Base'!$P:$P, "Y")</f>
        <v/>
      </c>
      <c r="H12" s="7">
        <f>COUNTIFS('Onboarding Base'!$H:$H, $A12, 'Onboarding Base'!$J:$J, F$1, 'Onboarding Base'!$P:$P, "N")</f>
        <v/>
      </c>
      <c r="I12" s="8">
        <f>IFERROR(G12/F12,100%)</f>
        <v/>
      </c>
      <c r="J12" s="7">
        <f>'Hyperverge - XD'!C12</f>
        <v/>
      </c>
      <c r="K12" s="7">
        <f>'Hyperverge - XD'!E12</f>
        <v/>
      </c>
    </row>
    <row r="13" ht="15" customHeight="1">
      <c r="A13" s="6" t="inlineStr">
        <is>
          <t>Vijayawada XD</t>
        </is>
      </c>
      <c r="B13" s="7">
        <f>COUNTIFS('Onboarding Base'!$H:$H, $A13, 'Onboarding Base'!$J:$J, B$1)</f>
        <v/>
      </c>
      <c r="C13" s="7">
        <f>COUNTIFS('Onboarding Base'!$H:$H, $A13, 'Onboarding Base'!$J:$J, B$1, 'Onboarding Base'!$P:$P, "Y")</f>
        <v/>
      </c>
      <c r="D13" s="7">
        <f>COUNTIFS('Onboarding Base'!$H:$H, $A13, 'Onboarding Base'!$J:$J, B$1, 'Onboarding Base'!$P:$P, "N")</f>
        <v/>
      </c>
      <c r="E13" s="8">
        <f>IFERROR(C13/B13,100%)</f>
        <v/>
      </c>
      <c r="F13" s="7">
        <f>COUNTIFS('Onboarding Base'!$H:$H, $A13, 'Onboarding Base'!$J:$J, F$1)</f>
        <v/>
      </c>
      <c r="G13" s="7">
        <f>COUNTIFS('Onboarding Base'!$H:$H, $A13, 'Onboarding Base'!$J:$J, F$1, 'Onboarding Base'!$P:$P, "Y")</f>
        <v/>
      </c>
      <c r="H13" s="7">
        <f>COUNTIFS('Onboarding Base'!$H:$H, $A13, 'Onboarding Base'!$J:$J, F$1, 'Onboarding Base'!$P:$P, "N")</f>
        <v/>
      </c>
      <c r="I13" s="8">
        <f>IFERROR(G13/F13,100%)</f>
        <v/>
      </c>
      <c r="J13" s="7">
        <f>'Hyperverge - XD'!C13</f>
        <v/>
      </c>
      <c r="K13" s="7">
        <f>'Hyperverge - XD'!E13</f>
        <v/>
      </c>
    </row>
    <row r="14" ht="15" customHeight="1">
      <c r="A14" s="6" t="inlineStr">
        <is>
          <t>Visakhapatnam XD</t>
        </is>
      </c>
      <c r="B14" s="7">
        <f>COUNTIFS('Onboarding Base'!$H:$H, $A14, 'Onboarding Base'!$J:$J, B$1)</f>
        <v/>
      </c>
      <c r="C14" s="7">
        <f>COUNTIFS('Onboarding Base'!$H:$H, $A14, 'Onboarding Base'!$J:$J, B$1, 'Onboarding Base'!$P:$P, "Y")</f>
        <v/>
      </c>
      <c r="D14" s="7">
        <f>COUNTIFS('Onboarding Base'!$H:$H, $A14, 'Onboarding Base'!$J:$J, B$1, 'Onboarding Base'!$P:$P, "N")</f>
        <v/>
      </c>
      <c r="E14" s="8">
        <f>IFERROR(C14/B14,100%)</f>
        <v/>
      </c>
      <c r="F14" s="7">
        <f>COUNTIFS('Onboarding Base'!$H:$H, $A14, 'Onboarding Base'!$J:$J, F$1)</f>
        <v/>
      </c>
      <c r="G14" s="7">
        <f>COUNTIFS('Onboarding Base'!$H:$H, $A14, 'Onboarding Base'!$J:$J, F$1, 'Onboarding Base'!$P:$P, "Y")</f>
        <v/>
      </c>
      <c r="H14" s="7">
        <f>COUNTIFS('Onboarding Base'!$H:$H, $A14, 'Onboarding Base'!$J:$J, F$1, 'Onboarding Base'!$P:$P, "N")</f>
        <v/>
      </c>
      <c r="I14" s="8">
        <f>IFERROR(G14/F14,100%)</f>
        <v/>
      </c>
      <c r="J14" s="7">
        <f>'Hyperverge - XD'!C14</f>
        <v/>
      </c>
      <c r="K14" s="7">
        <f>'Hyperverge - XD'!E14</f>
        <v/>
      </c>
    </row>
    <row r="15" ht="15" customHeight="1">
      <c r="A15" s="6" t="inlineStr">
        <is>
          <t>Hubli XD</t>
        </is>
      </c>
      <c r="B15" s="7">
        <f>COUNTIFS('Onboarding Base'!$H:$H, $A15, 'Onboarding Base'!$J:$J, B$1)</f>
        <v/>
      </c>
      <c r="C15" s="7">
        <f>COUNTIFS('Onboarding Base'!$H:$H, $A15, 'Onboarding Base'!$J:$J, B$1, 'Onboarding Base'!$P:$P, "Y")</f>
        <v/>
      </c>
      <c r="D15" s="7">
        <f>COUNTIFS('Onboarding Base'!$H:$H, $A15, 'Onboarding Base'!$J:$J, B$1, 'Onboarding Base'!$P:$P, "N")</f>
        <v/>
      </c>
      <c r="E15" s="8">
        <f>IFERROR(C15/B15,100%)</f>
        <v/>
      </c>
      <c r="F15" s="7">
        <f>COUNTIFS('Onboarding Base'!$H:$H, $A15, 'Onboarding Base'!$J:$J, F$1)</f>
        <v/>
      </c>
      <c r="G15" s="7">
        <f>COUNTIFS('Onboarding Base'!$H:$H, $A15, 'Onboarding Base'!$J:$J, F$1, 'Onboarding Base'!$P:$P, "Y")</f>
        <v/>
      </c>
      <c r="H15" s="7">
        <f>COUNTIFS('Onboarding Base'!$H:$H, $A15, 'Onboarding Base'!$J:$J, F$1, 'Onboarding Base'!$P:$P, "N")</f>
        <v/>
      </c>
      <c r="I15" s="8">
        <f>IFERROR(G15/F15,100%)</f>
        <v/>
      </c>
      <c r="J15" s="7">
        <f>'Hyperverge - XD'!C15</f>
        <v/>
      </c>
      <c r="K15" s="7">
        <f>'Hyperverge - XD'!E15</f>
        <v/>
      </c>
    </row>
    <row r="16" ht="15" customHeight="1">
      <c r="A16" s="6" t="inlineStr">
        <is>
          <t>Kozhikode XD</t>
        </is>
      </c>
      <c r="B16" s="7">
        <f>COUNTIFS('Onboarding Base'!$H:$H, $A16, 'Onboarding Base'!$J:$J, B$1)</f>
        <v/>
      </c>
      <c r="C16" s="7">
        <f>COUNTIFS('Onboarding Base'!$H:$H, $A16, 'Onboarding Base'!$J:$J, B$1, 'Onboarding Base'!$P:$P, "Y")</f>
        <v/>
      </c>
      <c r="D16" s="7">
        <f>COUNTIFS('Onboarding Base'!$H:$H, $A16, 'Onboarding Base'!$J:$J, B$1, 'Onboarding Base'!$P:$P, "N")</f>
        <v/>
      </c>
      <c r="E16" s="8">
        <f>IFERROR(C16/B16,100%)</f>
        <v/>
      </c>
      <c r="F16" s="7">
        <f>COUNTIFS('Onboarding Base'!$H:$H, $A16, 'Onboarding Base'!$J:$J, F$1)</f>
        <v/>
      </c>
      <c r="G16" s="7">
        <f>COUNTIFS('Onboarding Base'!$H:$H, $A16, 'Onboarding Base'!$J:$J, F$1, 'Onboarding Base'!$P:$P, "Y")</f>
        <v/>
      </c>
      <c r="H16" s="7">
        <f>COUNTIFS('Onboarding Base'!$H:$H, $A16, 'Onboarding Base'!$J:$J, F$1, 'Onboarding Base'!$P:$P, "N")</f>
        <v/>
      </c>
      <c r="I16" s="8">
        <f>IFERROR(G16/F16,100%)</f>
        <v/>
      </c>
      <c r="J16" s="7">
        <f>'Hyperverge - XD'!C16</f>
        <v/>
      </c>
      <c r="K16" s="7">
        <f>'Hyperverge - XD'!E16</f>
        <v/>
      </c>
    </row>
    <row r="17" ht="15" customHeight="1">
      <c r="A17" s="6" t="inlineStr">
        <is>
          <t>Bhopal XD</t>
        </is>
      </c>
      <c r="B17" s="7">
        <f>COUNTIFS('Onboarding Base'!$H:$H, $A17, 'Onboarding Base'!$J:$J, B$1)</f>
        <v/>
      </c>
      <c r="C17" s="7">
        <f>COUNTIFS('Onboarding Base'!$H:$H, $A17, 'Onboarding Base'!$J:$J, B$1, 'Onboarding Base'!$P:$P, "Y")</f>
        <v/>
      </c>
      <c r="D17" s="7">
        <f>COUNTIFS('Onboarding Base'!$H:$H, $A17, 'Onboarding Base'!$J:$J, B$1, 'Onboarding Base'!$P:$P, "N")</f>
        <v/>
      </c>
      <c r="E17" s="8">
        <f>IFERROR(C17/B17,100%)</f>
        <v/>
      </c>
      <c r="F17" s="7">
        <f>COUNTIFS('Onboarding Base'!$H:$H, $A17, 'Onboarding Base'!$J:$J, F$1)</f>
        <v/>
      </c>
      <c r="G17" s="7">
        <f>COUNTIFS('Onboarding Base'!$H:$H, $A17, 'Onboarding Base'!$J:$J, F$1, 'Onboarding Base'!$P:$P, "Y")</f>
        <v/>
      </c>
      <c r="H17" s="7">
        <f>COUNTIFS('Onboarding Base'!$H:$H, $A17, 'Onboarding Base'!$J:$J, F$1, 'Onboarding Base'!$P:$P, "N")</f>
        <v/>
      </c>
      <c r="I17" s="8">
        <f>IFERROR(G17/F17,100%)</f>
        <v/>
      </c>
      <c r="J17" s="7">
        <f>'Hyperverge - XD'!C17</f>
        <v/>
      </c>
      <c r="K17" s="7">
        <f>'Hyperverge - XD'!E17</f>
        <v/>
      </c>
    </row>
    <row r="18" ht="15" customHeight="1">
      <c r="A18" s="6" t="inlineStr">
        <is>
          <t>Madurai XD</t>
        </is>
      </c>
      <c r="B18" s="7">
        <f>COUNTIFS('Onboarding Base'!$H:$H, $A18, 'Onboarding Base'!$J:$J, B$1)</f>
        <v/>
      </c>
      <c r="C18" s="7">
        <f>COUNTIFS('Onboarding Base'!$H:$H, $A18, 'Onboarding Base'!$J:$J, B$1, 'Onboarding Base'!$P:$P, "Y")</f>
        <v/>
      </c>
      <c r="D18" s="7">
        <f>COUNTIFS('Onboarding Base'!$H:$H, $A18, 'Onboarding Base'!$J:$J, B$1, 'Onboarding Base'!$P:$P, "N")</f>
        <v/>
      </c>
      <c r="E18" s="8">
        <f>IFERROR(C18/B18,100%)</f>
        <v/>
      </c>
      <c r="F18" s="7">
        <f>COUNTIFS('Onboarding Base'!$H:$H, $A18, 'Onboarding Base'!$J:$J, F$1)</f>
        <v/>
      </c>
      <c r="G18" s="7">
        <f>COUNTIFS('Onboarding Base'!$H:$H, $A18, 'Onboarding Base'!$J:$J, F$1, 'Onboarding Base'!$P:$P, "Y")</f>
        <v/>
      </c>
      <c r="H18" s="7">
        <f>COUNTIFS('Onboarding Base'!$H:$H, $A18, 'Onboarding Base'!$J:$J, F$1, 'Onboarding Base'!$P:$P, "N")</f>
        <v/>
      </c>
      <c r="I18" s="8">
        <f>IFERROR(G18/F18,100%)</f>
        <v/>
      </c>
      <c r="J18" s="7">
        <f>'Hyperverge - XD'!C18</f>
        <v/>
      </c>
      <c r="K18" s="7">
        <f>'Hyperverge - XD'!E18</f>
        <v/>
      </c>
    </row>
    <row r="19" ht="15" customHeight="1">
      <c r="A19" s="6" t="inlineStr">
        <is>
          <t>Kanpur XD</t>
        </is>
      </c>
      <c r="B19" s="7">
        <f>COUNTIFS('Onboarding Base'!$H:$H, $A19, 'Onboarding Base'!$J:$J, B$1)</f>
        <v/>
      </c>
      <c r="C19" s="7">
        <f>COUNTIFS('Onboarding Base'!$H:$H, $A19, 'Onboarding Base'!$J:$J, B$1, 'Onboarding Base'!$P:$P, "Y")</f>
        <v/>
      </c>
      <c r="D19" s="7">
        <f>COUNTIFS('Onboarding Base'!$H:$H, $A19, 'Onboarding Base'!$J:$J, B$1, 'Onboarding Base'!$P:$P, "N")</f>
        <v/>
      </c>
      <c r="E19" s="8">
        <f>IFERROR(C19/B19,100%)</f>
        <v/>
      </c>
      <c r="F19" s="7">
        <f>COUNTIFS('Onboarding Base'!$H:$H, $A19, 'Onboarding Base'!$J:$J, F$1)</f>
        <v/>
      </c>
      <c r="G19" s="7">
        <f>COUNTIFS('Onboarding Base'!$H:$H, $A19, 'Onboarding Base'!$J:$J, F$1, 'Onboarding Base'!$P:$P, "Y")</f>
        <v/>
      </c>
      <c r="H19" s="7">
        <f>COUNTIFS('Onboarding Base'!$H:$H, $A19, 'Onboarding Base'!$J:$J, F$1, 'Onboarding Base'!$P:$P, "N")</f>
        <v/>
      </c>
      <c r="I19" s="8">
        <f>IFERROR(G19/F19,100%)</f>
        <v/>
      </c>
      <c r="J19" s="7">
        <f>'Hyperverge - XD'!C19</f>
        <v/>
      </c>
      <c r="K19" s="7">
        <f>'Hyperverge - XD'!E19</f>
        <v/>
      </c>
    </row>
    <row r="20" ht="15" customHeight="1">
      <c r="A20" s="6" t="inlineStr">
        <is>
          <t>Siliguri XD</t>
        </is>
      </c>
      <c r="B20" s="7">
        <f>COUNTIFS('Onboarding Base'!$H:$H, $A20, 'Onboarding Base'!$J:$J, B$1)</f>
        <v/>
      </c>
      <c r="C20" s="7">
        <f>COUNTIFS('Onboarding Base'!$H:$H, $A20, 'Onboarding Base'!$J:$J, B$1, 'Onboarding Base'!$P:$P, "Y")</f>
        <v/>
      </c>
      <c r="D20" s="7">
        <f>COUNTIFS('Onboarding Base'!$H:$H, $A20, 'Onboarding Base'!$J:$J, B$1, 'Onboarding Base'!$P:$P, "N")</f>
        <v/>
      </c>
      <c r="E20" s="8">
        <f>IFERROR(C20/B20,100%)</f>
        <v/>
      </c>
      <c r="F20" s="7">
        <f>COUNTIFS('Onboarding Base'!$H:$H, $A20, 'Onboarding Base'!$J:$J, F$1)</f>
        <v/>
      </c>
      <c r="G20" s="7">
        <f>COUNTIFS('Onboarding Base'!$H:$H, $A20, 'Onboarding Base'!$J:$J, F$1, 'Onboarding Base'!$P:$P, "Y")</f>
        <v/>
      </c>
      <c r="H20" s="7">
        <f>COUNTIFS('Onboarding Base'!$H:$H, $A20, 'Onboarding Base'!$J:$J, F$1, 'Onboarding Base'!$P:$P, "N")</f>
        <v/>
      </c>
      <c r="I20" s="8">
        <f>IFERROR(G20/F20,100%)</f>
        <v/>
      </c>
      <c r="J20" s="7">
        <f>'Hyperverge - XD'!C20</f>
        <v/>
      </c>
      <c r="K20" s="7">
        <f>'Hyperverge - XD'!E20</f>
        <v/>
      </c>
    </row>
    <row r="21" ht="15" customHeight="1">
      <c r="A21" s="6" t="inlineStr">
        <is>
          <t>Jammu XD</t>
        </is>
      </c>
      <c r="B21" s="7">
        <f>COUNTIFS('Onboarding Base'!$H:$H, $A21, 'Onboarding Base'!$J:$J, B$1)</f>
        <v/>
      </c>
      <c r="C21" s="7">
        <f>COUNTIFS('Onboarding Base'!$H:$H, $A21, 'Onboarding Base'!$J:$J, B$1, 'Onboarding Base'!$P:$P, "Y")</f>
        <v/>
      </c>
      <c r="D21" s="7">
        <f>COUNTIFS('Onboarding Base'!$H:$H, $A21, 'Onboarding Base'!$J:$J, B$1, 'Onboarding Base'!$P:$P, "N")</f>
        <v/>
      </c>
      <c r="E21" s="8">
        <f>IFERROR(C21/B21,100%)</f>
        <v/>
      </c>
      <c r="F21" s="7">
        <f>COUNTIFS('Onboarding Base'!$H:$H, $A21, 'Onboarding Base'!$J:$J, F$1)</f>
        <v/>
      </c>
      <c r="G21" s="7">
        <f>COUNTIFS('Onboarding Base'!$H:$H, $A21, 'Onboarding Base'!$J:$J, F$1, 'Onboarding Base'!$P:$P, "Y")</f>
        <v/>
      </c>
      <c r="H21" s="7">
        <f>COUNTIFS('Onboarding Base'!$H:$H, $A21, 'Onboarding Base'!$J:$J, F$1, 'Onboarding Base'!$P:$P, "N")</f>
        <v/>
      </c>
      <c r="I21" s="8">
        <f>IFERROR(G21/F21,100%)</f>
        <v/>
      </c>
      <c r="J21" s="7">
        <f>'Hyperverge - XD'!C21</f>
        <v/>
      </c>
      <c r="K21" s="7">
        <f>'Hyperverge - XD'!E21</f>
        <v/>
      </c>
    </row>
    <row r="22" ht="15" customHeight="1">
      <c r="A22" s="6" t="inlineStr">
        <is>
          <t>Rajahmundry XD</t>
        </is>
      </c>
      <c r="B22" s="7">
        <f>COUNTIFS('Onboarding Base'!$H:$H, $A22, 'Onboarding Base'!$J:$J, B$1)</f>
        <v/>
      </c>
      <c r="C22" s="7">
        <f>COUNTIFS('Onboarding Base'!$H:$H, $A22, 'Onboarding Base'!$J:$J, B$1, 'Onboarding Base'!$P:$P, "Y")</f>
        <v/>
      </c>
      <c r="D22" s="7">
        <f>COUNTIFS('Onboarding Base'!$H:$H, $A22, 'Onboarding Base'!$J:$J, B$1, 'Onboarding Base'!$P:$P, "N")</f>
        <v/>
      </c>
      <c r="E22" s="8">
        <f>IFERROR(C22/B22,100%)</f>
        <v/>
      </c>
      <c r="F22" s="7">
        <f>COUNTIFS('Onboarding Base'!$H:$H, $A22, 'Onboarding Base'!$J:$J, F$1)</f>
        <v/>
      </c>
      <c r="G22" s="7">
        <f>COUNTIFS('Onboarding Base'!$H:$H, $A22, 'Onboarding Base'!$J:$J, F$1, 'Onboarding Base'!$P:$P, "Y")</f>
        <v/>
      </c>
      <c r="H22" s="7">
        <f>COUNTIFS('Onboarding Base'!$H:$H, $A22, 'Onboarding Base'!$J:$J, F$1, 'Onboarding Base'!$P:$P, "N")</f>
        <v/>
      </c>
      <c r="I22" s="8">
        <f>IFERROR(G22/F22,100%)</f>
        <v/>
      </c>
      <c r="J22" s="7">
        <f>'Hyperverge - XD'!C22</f>
        <v/>
      </c>
      <c r="K22" s="7">
        <f>'Hyperverge - XD'!E22</f>
        <v/>
      </c>
    </row>
    <row r="23" ht="15" customHeight="1">
      <c r="A23" s="6" t="inlineStr">
        <is>
          <t>Purnia XD</t>
        </is>
      </c>
      <c r="B23" s="7">
        <f>COUNTIFS('Onboarding Base'!$H:$H, $A23, 'Onboarding Base'!$J:$J, B$1)</f>
        <v/>
      </c>
      <c r="C23" s="7">
        <f>COUNTIFS('Onboarding Base'!$H:$H, $A23, 'Onboarding Base'!$J:$J, B$1, 'Onboarding Base'!$P:$P, "Y")</f>
        <v/>
      </c>
      <c r="D23" s="7">
        <f>COUNTIFS('Onboarding Base'!$H:$H, $A23, 'Onboarding Base'!$J:$J, B$1, 'Onboarding Base'!$P:$P, "N")</f>
        <v/>
      </c>
      <c r="E23" s="8">
        <f>IFERROR(C23/B23,100%)</f>
        <v/>
      </c>
      <c r="F23" s="7">
        <f>COUNTIFS('Onboarding Base'!$H:$H, $A23, 'Onboarding Base'!$J:$J, F$1)</f>
        <v/>
      </c>
      <c r="G23" s="7">
        <f>COUNTIFS('Onboarding Base'!$H:$H, $A23, 'Onboarding Base'!$J:$J, F$1, 'Onboarding Base'!$P:$P, "Y")</f>
        <v/>
      </c>
      <c r="H23" s="7">
        <f>COUNTIFS('Onboarding Base'!$H:$H, $A23, 'Onboarding Base'!$J:$J, F$1, 'Onboarding Base'!$P:$P, "N")</f>
        <v/>
      </c>
      <c r="I23" s="8">
        <f>IFERROR(G23/F23,100%)</f>
        <v/>
      </c>
      <c r="J23" s="7">
        <f>'Hyperverge - XD'!C23</f>
        <v/>
      </c>
      <c r="K23" s="7">
        <f>'Hyperverge - XD'!E23</f>
        <v/>
      </c>
    </row>
    <row r="24" ht="15" customHeight="1">
      <c r="A24" s="6" t="inlineStr">
        <is>
          <t>Udaipur XD</t>
        </is>
      </c>
      <c r="B24" s="7">
        <f>COUNTIFS('Onboarding Base'!$H:$H, $A24, 'Onboarding Base'!$J:$J, B$1)</f>
        <v/>
      </c>
      <c r="C24" s="7">
        <f>COUNTIFS('Onboarding Base'!$H:$H, $A24, 'Onboarding Base'!$J:$J, B$1, 'Onboarding Base'!$P:$P, "Y")</f>
        <v/>
      </c>
      <c r="D24" s="7">
        <f>COUNTIFS('Onboarding Base'!$H:$H, $A24, 'Onboarding Base'!$J:$J, B$1, 'Onboarding Base'!$P:$P, "N")</f>
        <v/>
      </c>
      <c r="E24" s="8">
        <f>IFERROR(C24/B24,100%)</f>
        <v/>
      </c>
      <c r="F24" s="7">
        <f>COUNTIFS('Onboarding Base'!$H:$H, $A24, 'Onboarding Base'!$J:$J, F$1)</f>
        <v/>
      </c>
      <c r="G24" s="7">
        <f>COUNTIFS('Onboarding Base'!$H:$H, $A24, 'Onboarding Base'!$J:$J, F$1, 'Onboarding Base'!$P:$P, "Y")</f>
        <v/>
      </c>
      <c r="H24" s="7">
        <f>COUNTIFS('Onboarding Base'!$H:$H, $A24, 'Onboarding Base'!$J:$J, F$1, 'Onboarding Base'!$P:$P, "N")</f>
        <v/>
      </c>
      <c r="I24" s="8">
        <f>IFERROR(G24/F24,100%)</f>
        <v/>
      </c>
      <c r="J24" s="7">
        <f>'Hyperverge - XD'!C24</f>
        <v/>
      </c>
      <c r="K24" s="7">
        <f>'Hyperverge - XD'!E24</f>
        <v/>
      </c>
    </row>
    <row r="25" ht="15" customHeight="1">
      <c r="A25" s="6" t="inlineStr">
        <is>
          <t>Mysore XD</t>
        </is>
      </c>
      <c r="B25" s="7">
        <f>COUNTIFS('Onboarding Base'!$H:$H, $A25, 'Onboarding Base'!$J:$J, B$1)</f>
        <v/>
      </c>
      <c r="C25" s="7">
        <f>COUNTIFS('Onboarding Base'!$H:$H, $A25, 'Onboarding Base'!$J:$J, B$1, 'Onboarding Base'!$P:$P, "Y")</f>
        <v/>
      </c>
      <c r="D25" s="7">
        <f>COUNTIFS('Onboarding Base'!$H:$H, $A25, 'Onboarding Base'!$J:$J, B$1, 'Onboarding Base'!$P:$P, "N")</f>
        <v/>
      </c>
      <c r="E25" s="8">
        <f>IFERROR(C25/B25,100%)</f>
        <v/>
      </c>
      <c r="F25" s="7">
        <f>COUNTIFS('Onboarding Base'!$H:$H, $A25, 'Onboarding Base'!$J:$J, F$1)</f>
        <v/>
      </c>
      <c r="G25" s="7">
        <f>COUNTIFS('Onboarding Base'!$H:$H, $A25, 'Onboarding Base'!$J:$J, F$1, 'Onboarding Base'!$P:$P, "Y")</f>
        <v/>
      </c>
      <c r="H25" s="7">
        <f>COUNTIFS('Onboarding Base'!$H:$H, $A25, 'Onboarding Base'!$J:$J, F$1, 'Onboarding Base'!$P:$P, "N")</f>
        <v/>
      </c>
      <c r="I25" s="8">
        <f>IFERROR(G25/F25,100%)</f>
        <v/>
      </c>
      <c r="J25" s="7">
        <f>'Hyperverge - XD'!C25</f>
        <v/>
      </c>
      <c r="K25" s="7">
        <f>'Hyperverge - XD'!E25</f>
        <v/>
      </c>
    </row>
    <row r="26" ht="15" customHeight="1">
      <c r="A26" s="6" t="inlineStr">
        <is>
          <t>Aurangabad XD</t>
        </is>
      </c>
      <c r="B26" s="7">
        <f>COUNTIFS('Onboarding Base'!$H:$H, $A26, 'Onboarding Base'!$J:$J, B$1)</f>
        <v/>
      </c>
      <c r="C26" s="7">
        <f>COUNTIFS('Onboarding Base'!$H:$H, $A26, 'Onboarding Base'!$J:$J, B$1, 'Onboarding Base'!$P:$P, "Y")</f>
        <v/>
      </c>
      <c r="D26" s="7">
        <f>COUNTIFS('Onboarding Base'!$H:$H, $A26, 'Onboarding Base'!$J:$J, B$1, 'Onboarding Base'!$P:$P, "N")</f>
        <v/>
      </c>
      <c r="E26" s="8">
        <f>IFERROR(C26/B26,100%)</f>
        <v/>
      </c>
      <c r="F26" s="7">
        <f>COUNTIFS('Onboarding Base'!$H:$H, $A26, 'Onboarding Base'!$J:$J, F$1)</f>
        <v/>
      </c>
      <c r="G26" s="7">
        <f>COUNTIFS('Onboarding Base'!$H:$H, $A26, 'Onboarding Base'!$J:$J, F$1, 'Onboarding Base'!$P:$P, "Y")</f>
        <v/>
      </c>
      <c r="H26" s="7">
        <f>COUNTIFS('Onboarding Base'!$H:$H, $A26, 'Onboarding Base'!$J:$J, F$1, 'Onboarding Base'!$P:$P, "N")</f>
        <v/>
      </c>
      <c r="I26" s="8">
        <f>IFERROR(G26/F26,100%)</f>
        <v/>
      </c>
      <c r="J26" s="7">
        <f>'Hyperverge - XD'!C26</f>
        <v/>
      </c>
      <c r="K26" s="7">
        <f>'Hyperverge - XD'!E26</f>
        <v/>
      </c>
    </row>
    <row r="27" ht="15" customHeight="1">
      <c r="A27" s="6" t="inlineStr">
        <is>
          <t>SAMBALPUR XD</t>
        </is>
      </c>
      <c r="B27" s="7">
        <f>COUNTIFS('Onboarding Base'!$H:$H, $A27, 'Onboarding Base'!$J:$J, B$1)</f>
        <v/>
      </c>
      <c r="C27" s="7">
        <f>COUNTIFS('Onboarding Base'!$H:$H, $A27, 'Onboarding Base'!$J:$J, B$1, 'Onboarding Base'!$P:$P, "Y")</f>
        <v/>
      </c>
      <c r="D27" s="7">
        <f>COUNTIFS('Onboarding Base'!$H:$H, $A27, 'Onboarding Base'!$J:$J, B$1, 'Onboarding Base'!$P:$P, "N")</f>
        <v/>
      </c>
      <c r="E27" s="8">
        <f>IFERROR(C27/B27,100%)</f>
        <v/>
      </c>
      <c r="F27" s="7">
        <f>COUNTIFS('Onboarding Base'!$H:$H, $A27, 'Onboarding Base'!$J:$J, F$1)</f>
        <v/>
      </c>
      <c r="G27" s="7">
        <f>COUNTIFS('Onboarding Base'!$H:$H, $A27, 'Onboarding Base'!$J:$J, F$1, 'Onboarding Base'!$P:$P, "Y")</f>
        <v/>
      </c>
      <c r="H27" s="7">
        <f>COUNTIFS('Onboarding Base'!$H:$H, $A27, 'Onboarding Base'!$J:$J, F$1, 'Onboarding Base'!$P:$P, "N")</f>
        <v/>
      </c>
      <c r="I27" s="8">
        <f>IFERROR(G27/F27,100%)</f>
        <v/>
      </c>
      <c r="J27" s="7">
        <f>'Hyperverge - XD'!C27</f>
        <v/>
      </c>
      <c r="K27" s="7">
        <f>'Hyperverge - XD'!E27</f>
        <v/>
      </c>
    </row>
    <row r="28" ht="15" customHeight="1">
      <c r="A28" s="6" t="inlineStr">
        <is>
          <t>SILCHAR XD</t>
        </is>
      </c>
      <c r="B28" s="7">
        <f>COUNTIFS('Onboarding Base'!$H:$H, $A28, 'Onboarding Base'!$J:$J, B$1)</f>
        <v/>
      </c>
      <c r="C28" s="7">
        <f>COUNTIFS('Onboarding Base'!$H:$H, $A28, 'Onboarding Base'!$J:$J, B$1, 'Onboarding Base'!$P:$P, "Y")</f>
        <v/>
      </c>
      <c r="D28" s="7">
        <f>COUNTIFS('Onboarding Base'!$H:$H, $A28, 'Onboarding Base'!$J:$J, B$1, 'Onboarding Base'!$P:$P, "N")</f>
        <v/>
      </c>
      <c r="E28" s="8">
        <f>IFERROR(C28/B28,100%)</f>
        <v/>
      </c>
      <c r="F28" s="7">
        <f>COUNTIFS('Onboarding Base'!$H:$H, $A28, 'Onboarding Base'!$J:$J, F$1)</f>
        <v/>
      </c>
      <c r="G28" s="7">
        <f>COUNTIFS('Onboarding Base'!$H:$H, $A28, 'Onboarding Base'!$J:$J, F$1, 'Onboarding Base'!$P:$P, "Y")</f>
        <v/>
      </c>
      <c r="H28" s="7">
        <f>COUNTIFS('Onboarding Base'!$H:$H, $A28, 'Onboarding Base'!$J:$J, F$1, 'Onboarding Base'!$P:$P, "N")</f>
        <v/>
      </c>
      <c r="I28" s="8">
        <f>IFERROR(G28/F28,100%)</f>
        <v/>
      </c>
      <c r="J28" s="7">
        <f>'Hyperverge - XD'!C28</f>
        <v/>
      </c>
      <c r="K28" s="7">
        <f>'Hyperverge - XD'!E28</f>
        <v/>
      </c>
    </row>
    <row r="29" ht="15" customHeight="1">
      <c r="A29" s="6" t="inlineStr">
        <is>
          <t>Malda XD</t>
        </is>
      </c>
      <c r="B29" s="7">
        <f>COUNTIFS('Onboarding Base'!$H:$H, $A29, 'Onboarding Base'!$J:$J, B$1)</f>
        <v/>
      </c>
      <c r="C29" s="7">
        <f>COUNTIFS('Onboarding Base'!$H:$H, $A29, 'Onboarding Base'!$J:$J, B$1, 'Onboarding Base'!$P:$P, "Y")</f>
        <v/>
      </c>
      <c r="D29" s="7">
        <f>COUNTIFS('Onboarding Base'!$H:$H, $A29, 'Onboarding Base'!$J:$J, B$1, 'Onboarding Base'!$P:$P, "N")</f>
        <v/>
      </c>
      <c r="E29" s="8">
        <f>IFERROR(C29/B29,100%)</f>
        <v/>
      </c>
      <c r="F29" s="7">
        <f>COUNTIFS('Onboarding Base'!$H:$H, $A29, 'Onboarding Base'!$J:$J, F$1)</f>
        <v/>
      </c>
      <c r="G29" s="7">
        <f>COUNTIFS('Onboarding Base'!$H:$H, $A29, 'Onboarding Base'!$J:$J, F$1, 'Onboarding Base'!$P:$P, "Y")</f>
        <v/>
      </c>
      <c r="H29" s="7">
        <f>COUNTIFS('Onboarding Base'!$H:$H, $A29, 'Onboarding Base'!$J:$J, F$1, 'Onboarding Base'!$P:$P, "N")</f>
        <v/>
      </c>
      <c r="I29" s="8">
        <f>IFERROR(G29/F29,100%)</f>
        <v/>
      </c>
      <c r="J29" s="7">
        <f>'Hyperverge - XD'!C29</f>
        <v/>
      </c>
      <c r="K29" s="7">
        <f>'Hyperverge - XD'!E29</f>
        <v/>
      </c>
    </row>
    <row r="30" ht="15" customHeight="1">
      <c r="A30" s="6" t="inlineStr">
        <is>
          <t>Chennai XD</t>
        </is>
      </c>
      <c r="B30" s="7">
        <f>COUNTIFS('Onboarding Base'!$H:$H, $A30, 'Onboarding Base'!$J:$J, B$1)</f>
        <v/>
      </c>
      <c r="C30" s="7">
        <f>COUNTIFS('Onboarding Base'!$H:$H, $A30, 'Onboarding Base'!$J:$J, B$1, 'Onboarding Base'!$P:$P, "Y")</f>
        <v/>
      </c>
      <c r="D30" s="7">
        <f>COUNTIFS('Onboarding Base'!$H:$H, $A30, 'Onboarding Base'!$J:$J, B$1, 'Onboarding Base'!$P:$P, "N")</f>
        <v/>
      </c>
      <c r="E30" s="8">
        <f>IFERROR(C30/B30,100%)</f>
        <v/>
      </c>
      <c r="F30" s="7">
        <f>COUNTIFS('Onboarding Base'!$H:$H, $A30, 'Onboarding Base'!$J:$J, F$1)</f>
        <v/>
      </c>
      <c r="G30" s="7">
        <f>COUNTIFS('Onboarding Base'!$H:$H, $A30, 'Onboarding Base'!$J:$J, F$1, 'Onboarding Base'!$P:$P, "Y")</f>
        <v/>
      </c>
      <c r="H30" s="7">
        <f>COUNTIFS('Onboarding Base'!$H:$H, $A30, 'Onboarding Base'!$J:$J, F$1, 'Onboarding Base'!$P:$P, "N")</f>
        <v/>
      </c>
      <c r="I30" s="8">
        <f>IFERROR(G30/F30,100%)</f>
        <v/>
      </c>
      <c r="J30" s="7">
        <f>'Hyperverge - XD'!C30</f>
        <v/>
      </c>
      <c r="K30" s="7">
        <f>'Hyperverge - XD'!E30</f>
        <v/>
      </c>
    </row>
    <row r="31" ht="15" customHeight="1">
      <c r="A31" s="6" t="inlineStr">
        <is>
          <t>JABALPUR XD</t>
        </is>
      </c>
      <c r="B31" s="7">
        <f>COUNTIFS('Onboarding Base'!$H:$H, $A31, 'Onboarding Base'!$J:$J, B$1)</f>
        <v/>
      </c>
      <c r="C31" s="7">
        <f>COUNTIFS('Onboarding Base'!$H:$H, $A31, 'Onboarding Base'!$J:$J, B$1, 'Onboarding Base'!$P:$P, "Y")</f>
        <v/>
      </c>
      <c r="D31" s="7">
        <f>COUNTIFS('Onboarding Base'!$H:$H, $A31, 'Onboarding Base'!$J:$J, B$1, 'Onboarding Base'!$P:$P, "N")</f>
        <v/>
      </c>
      <c r="E31" s="8">
        <f>IFERROR(C31/B31,100%)</f>
        <v/>
      </c>
      <c r="F31" s="7">
        <f>COUNTIFS('Onboarding Base'!$H:$H, $A31, 'Onboarding Base'!$J:$J, F$1)</f>
        <v/>
      </c>
      <c r="G31" s="7">
        <f>COUNTIFS('Onboarding Base'!$H:$H, $A31, 'Onboarding Base'!$J:$J, F$1, 'Onboarding Base'!$P:$P, "Y")</f>
        <v/>
      </c>
      <c r="H31" s="7">
        <f>COUNTIFS('Onboarding Base'!$H:$H, $A31, 'Onboarding Base'!$J:$J, F$1, 'Onboarding Base'!$P:$P, "N")</f>
        <v/>
      </c>
      <c r="I31" s="8">
        <f>IFERROR(G31/F31,100%)</f>
        <v/>
      </c>
      <c r="J31" s="7">
        <f>'Hyperverge - XD'!C31</f>
        <v/>
      </c>
      <c r="K31" s="7">
        <f>'Hyperverge - XD'!E31</f>
        <v/>
      </c>
    </row>
    <row r="32" ht="15" customHeight="1">
      <c r="A32" s="6" t="inlineStr">
        <is>
          <t>Moradabad XD</t>
        </is>
      </c>
      <c r="B32" s="7">
        <f>COUNTIFS('Onboarding Base'!$H:$H, $A32, 'Onboarding Base'!$J:$J, B$1)</f>
        <v/>
      </c>
      <c r="C32" s="7">
        <f>COUNTIFS('Onboarding Base'!$H:$H, $A32, 'Onboarding Base'!$J:$J, B$1, 'Onboarding Base'!$P:$P, "Y")</f>
        <v/>
      </c>
      <c r="D32" s="7">
        <f>COUNTIFS('Onboarding Base'!$H:$H, $A32, 'Onboarding Base'!$J:$J, B$1, 'Onboarding Base'!$P:$P, "N")</f>
        <v/>
      </c>
      <c r="E32" s="8">
        <f>IFERROR(C32/B32,100%)</f>
        <v/>
      </c>
      <c r="F32" s="7">
        <f>COUNTIFS('Onboarding Base'!$H:$H, $A32, 'Onboarding Base'!$J:$J, F$1)</f>
        <v/>
      </c>
      <c r="G32" s="7">
        <f>COUNTIFS('Onboarding Base'!$H:$H, $A32, 'Onboarding Base'!$J:$J, F$1, 'Onboarding Base'!$P:$P, "Y")</f>
        <v/>
      </c>
      <c r="H32" s="7">
        <f>COUNTIFS('Onboarding Base'!$H:$H, $A32, 'Onboarding Base'!$J:$J, F$1, 'Onboarding Base'!$P:$P, "N")</f>
        <v/>
      </c>
      <c r="I32" s="8">
        <f>IFERROR(G32/F32,100%)</f>
        <v/>
      </c>
      <c r="J32" s="7">
        <f>'Hyperverge - XD'!C32</f>
        <v/>
      </c>
      <c r="K32" s="7">
        <f>'Hyperverge - XD'!E32</f>
        <v/>
      </c>
    </row>
    <row r="33" ht="15" customHeight="1">
      <c r="A33" s="6" t="inlineStr">
        <is>
          <t>Patna XD</t>
        </is>
      </c>
      <c r="B33" s="7">
        <f>COUNTIFS('Onboarding Base'!$H:$H, $A33, 'Onboarding Base'!$J:$J, B$1)</f>
        <v/>
      </c>
      <c r="C33" s="7">
        <f>COUNTIFS('Onboarding Base'!$H:$H, $A33, 'Onboarding Base'!$J:$J, B$1, 'Onboarding Base'!$P:$P, "Y")</f>
        <v/>
      </c>
      <c r="D33" s="7">
        <f>COUNTIFS('Onboarding Base'!$H:$H, $A33, 'Onboarding Base'!$J:$J, B$1, 'Onboarding Base'!$P:$P, "N")</f>
        <v/>
      </c>
      <c r="E33" s="8">
        <f>IFERROR(C33/B33,100%)</f>
        <v/>
      </c>
      <c r="F33" s="7">
        <f>COUNTIFS('Onboarding Base'!$H:$H, $A33, 'Onboarding Base'!$J:$J, F$1)</f>
        <v/>
      </c>
      <c r="G33" s="7">
        <f>COUNTIFS('Onboarding Base'!$H:$H, $A33, 'Onboarding Base'!$J:$J, F$1, 'Onboarding Base'!$P:$P, "Y")</f>
        <v/>
      </c>
      <c r="H33" s="7">
        <f>COUNTIFS('Onboarding Base'!$H:$H, $A33, 'Onboarding Base'!$J:$J, F$1, 'Onboarding Base'!$P:$P, "N")</f>
        <v/>
      </c>
      <c r="I33" s="8">
        <f>IFERROR(G33/F33,100%)</f>
        <v/>
      </c>
      <c r="J33" s="7">
        <f>'Hyperverge - XD'!C33</f>
        <v/>
      </c>
      <c r="K33" s="7">
        <f>'Hyperverge - XD'!E33</f>
        <v/>
      </c>
    </row>
    <row r="34" ht="15" customHeight="1">
      <c r="A34" s="6" t="inlineStr">
        <is>
          <t>Chandigarh XD</t>
        </is>
      </c>
      <c r="B34" s="7">
        <f>COUNTIFS('Onboarding Base'!$H:$H, $A34, 'Onboarding Base'!$J:$J, B$1)</f>
        <v/>
      </c>
      <c r="C34" s="7">
        <f>COUNTIFS('Onboarding Base'!$H:$H, $A34, 'Onboarding Base'!$J:$J, B$1, 'Onboarding Base'!$P:$P, "Y")</f>
        <v/>
      </c>
      <c r="D34" s="7">
        <f>COUNTIFS('Onboarding Base'!$H:$H, $A34, 'Onboarding Base'!$J:$J, B$1, 'Onboarding Base'!$P:$P, "N")</f>
        <v/>
      </c>
      <c r="E34" s="8">
        <f>IFERROR(C34/B34,100%)</f>
        <v/>
      </c>
      <c r="F34" s="7">
        <f>COUNTIFS('Onboarding Base'!$H:$H, $A34, 'Onboarding Base'!$J:$J, F$1)</f>
        <v/>
      </c>
      <c r="G34" s="7">
        <f>COUNTIFS('Onboarding Base'!$H:$H, $A34, 'Onboarding Base'!$J:$J, F$1, 'Onboarding Base'!$P:$P, "Y")</f>
        <v/>
      </c>
      <c r="H34" s="7">
        <f>COUNTIFS('Onboarding Base'!$H:$H, $A34, 'Onboarding Base'!$J:$J, F$1, 'Onboarding Base'!$P:$P, "N")</f>
        <v/>
      </c>
      <c r="I34" s="8">
        <f>IFERROR(G34/F34,100%)</f>
        <v/>
      </c>
      <c r="J34" s="7">
        <f>'Hyperverge - XD'!C34</f>
        <v/>
      </c>
      <c r="K34" s="7">
        <f>'Hyperverge - XD'!E34</f>
        <v/>
      </c>
    </row>
    <row r="35" ht="15" customHeight="1">
      <c r="A35" s="6" t="inlineStr">
        <is>
          <t>Jodhpur XD</t>
        </is>
      </c>
      <c r="B35" s="7">
        <f>COUNTIFS('Onboarding Base'!$H:$H, $A35, 'Onboarding Base'!$J:$J, B$1)</f>
        <v/>
      </c>
      <c r="C35" s="7">
        <f>COUNTIFS('Onboarding Base'!$H:$H, $A35, 'Onboarding Base'!$J:$J, B$1, 'Onboarding Base'!$P:$P, "Y")</f>
        <v/>
      </c>
      <c r="D35" s="7">
        <f>COUNTIFS('Onboarding Base'!$H:$H, $A35, 'Onboarding Base'!$J:$J, B$1, 'Onboarding Base'!$P:$P, "N")</f>
        <v/>
      </c>
      <c r="E35" s="8">
        <f>IFERROR(C35/B35,100%)</f>
        <v/>
      </c>
      <c r="F35" s="7">
        <f>COUNTIFS('Onboarding Base'!$H:$H, $A35, 'Onboarding Base'!$J:$J, F$1)</f>
        <v/>
      </c>
      <c r="G35" s="7">
        <f>COUNTIFS('Onboarding Base'!$H:$H, $A35, 'Onboarding Base'!$J:$J, F$1, 'Onboarding Base'!$P:$P, "Y")</f>
        <v/>
      </c>
      <c r="H35" s="7">
        <f>COUNTIFS('Onboarding Base'!$H:$H, $A35, 'Onboarding Base'!$J:$J, F$1, 'Onboarding Base'!$P:$P, "N")</f>
        <v/>
      </c>
      <c r="I35" s="8">
        <f>IFERROR(G35/F35,100%)</f>
        <v/>
      </c>
      <c r="J35" s="7">
        <f>'Hyperverge - XD'!C35</f>
        <v/>
      </c>
      <c r="K35" s="7">
        <f>'Hyperverge - XD'!E35</f>
        <v/>
      </c>
    </row>
    <row r="36" ht="15" customHeight="1">
      <c r="A36" s="6" t="inlineStr">
        <is>
          <t>varanasi XD</t>
        </is>
      </c>
      <c r="B36" s="7">
        <f>COUNTIFS('Onboarding Base'!$H:$H, $A36, 'Onboarding Base'!$J:$J, B$1)</f>
        <v/>
      </c>
      <c r="C36" s="7">
        <f>COUNTIFS('Onboarding Base'!$H:$H, $A36, 'Onboarding Base'!$J:$J, B$1, 'Onboarding Base'!$P:$P, "Y")</f>
        <v/>
      </c>
      <c r="D36" s="7">
        <f>COUNTIFS('Onboarding Base'!$H:$H, $A36, 'Onboarding Base'!$J:$J, B$1, 'Onboarding Base'!$P:$P, "N")</f>
        <v/>
      </c>
      <c r="E36" s="8">
        <f>IFERROR(C36/B36,100%)</f>
        <v/>
      </c>
      <c r="F36" s="7">
        <f>COUNTIFS('Onboarding Base'!$H:$H, $A36, 'Onboarding Base'!$J:$J, F$1)</f>
        <v/>
      </c>
      <c r="G36" s="7">
        <f>COUNTIFS('Onboarding Base'!$H:$H, $A36, 'Onboarding Base'!$J:$J, F$1, 'Onboarding Base'!$P:$P, "Y")</f>
        <v/>
      </c>
      <c r="H36" s="7">
        <f>COUNTIFS('Onboarding Base'!$H:$H, $A36, 'Onboarding Base'!$J:$J, F$1, 'Onboarding Base'!$P:$P, "N")</f>
        <v/>
      </c>
      <c r="I36" s="8">
        <f>IFERROR(G36/F36,100%)</f>
        <v/>
      </c>
      <c r="J36" s="7">
        <f>'Hyperverge - XD'!C36</f>
        <v/>
      </c>
      <c r="K36" s="7">
        <f>'Hyperverge - XD'!E36</f>
        <v/>
      </c>
    </row>
    <row r="37" ht="15" customHeight="1">
      <c r="A37" s="6" t="inlineStr">
        <is>
          <t>Dibrugarh XD</t>
        </is>
      </c>
      <c r="B37" s="7">
        <f>COUNTIFS('Onboarding Base'!$H:$H, $A37, 'Onboarding Base'!$J:$J, B$1)</f>
        <v/>
      </c>
      <c r="C37" s="7">
        <f>COUNTIFS('Onboarding Base'!$H:$H, $A37, 'Onboarding Base'!$J:$J, B$1, 'Onboarding Base'!$P:$P, "Y")</f>
        <v/>
      </c>
      <c r="D37" s="7">
        <f>COUNTIFS('Onboarding Base'!$H:$H, $A37, 'Onboarding Base'!$J:$J, B$1, 'Onboarding Base'!$P:$P, "N")</f>
        <v/>
      </c>
      <c r="E37" s="8">
        <f>IFERROR(C37/B37,100%)</f>
        <v/>
      </c>
      <c r="F37" s="7">
        <f>COUNTIFS('Onboarding Base'!$H:$H, $A37, 'Onboarding Base'!$J:$J, F$1)</f>
        <v/>
      </c>
      <c r="G37" s="7">
        <f>COUNTIFS('Onboarding Base'!$H:$H, $A37, 'Onboarding Base'!$J:$J, F$1, 'Onboarding Base'!$P:$P, "Y")</f>
        <v/>
      </c>
      <c r="H37" s="7">
        <f>COUNTIFS('Onboarding Base'!$H:$H, $A37, 'Onboarding Base'!$J:$J, F$1, 'Onboarding Base'!$P:$P, "N")</f>
        <v/>
      </c>
      <c r="I37" s="8">
        <f>IFERROR(G37/F37,100%)</f>
        <v/>
      </c>
      <c r="J37" s="7">
        <f>'Hyperverge - XD'!C37</f>
        <v/>
      </c>
      <c r="K37" s="7">
        <f>'Hyperverge - XD'!E37</f>
        <v/>
      </c>
    </row>
    <row r="38" ht="15" customHeight="1">
      <c r="A38" s="9" t="inlineStr">
        <is>
          <t>Grand Total</t>
        </is>
      </c>
      <c r="B38" s="12">
        <f>SUM(B3:B37)</f>
        <v/>
      </c>
      <c r="C38" s="12">
        <f>SUM(C3:C37)</f>
        <v/>
      </c>
      <c r="D38" s="31">
        <f>SUM(D3:D37)</f>
        <v/>
      </c>
      <c r="E38" s="14">
        <f>IFERROR(C38/B38,100%)</f>
        <v/>
      </c>
      <c r="F38" s="12">
        <f>SUM(F3:F37)</f>
        <v/>
      </c>
      <c r="G38" s="12">
        <f>SUM(G3:G37)</f>
        <v/>
      </c>
      <c r="H38" s="31">
        <f>SUM(H3:H37)</f>
        <v/>
      </c>
      <c r="I38" s="14">
        <f>IFERROR(G38/F38,100%)</f>
        <v/>
      </c>
      <c r="J38" s="10">
        <f>SUM(J3:J37)</f>
        <v/>
      </c>
      <c r="K38" s="10">
        <f>SUM(K3:K37)</f>
        <v/>
      </c>
    </row>
  </sheetData>
  <mergeCells count="4">
    <mergeCell ref="J1:K1"/>
    <mergeCell ref="B1:E1"/>
    <mergeCell ref="F1:I1"/>
    <mergeCell ref="A1:A2"/>
  </mergeCells>
  <conditionalFormatting sqref="D3:D33">
    <cfRule type="cellIs" priority="36" operator="greaterThan" dxfId="0">
      <formula>0</formula>
    </cfRule>
  </conditionalFormatting>
  <conditionalFormatting sqref="E3:E3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3">
    <cfRule type="cellIs" priority="36" operator="greaterThan" dxfId="0">
      <formula>0</formula>
    </cfRule>
  </conditionalFormatting>
  <conditionalFormatting sqref="I3:I33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zoomScaleNormal="100" workbookViewId="0">
      <selection pane="topRight" activeCell="B1" sqref="B1"/>
      <selection pane="bottomLeft" activeCell="A3" sqref="A3"/>
      <selection pane="bottomRight" activeCell="AJ1" sqref="AJ1:AK18"/>
    </sheetView>
  </sheetViews>
  <sheetFormatPr baseColWidth="8" defaultColWidth="17.21875" defaultRowHeight="14.4"/>
  <cols>
    <col width="16.44140625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15.75" customHeight="1">
      <c r="A1" s="36" t="inlineStr">
        <is>
          <t>Site</t>
        </is>
      </c>
      <c r="B1" s="47" t="n"/>
      <c r="C1" s="42" t="n"/>
      <c r="D1" s="47" t="n"/>
      <c r="E1" s="42" t="n"/>
    </row>
    <row r="2" ht="39" customHeight="1">
      <c r="A2" s="44" t="n"/>
      <c r="B2" s="1" t="inlineStr">
        <is>
          <t>Total Onboarding</t>
        </is>
      </c>
      <c r="C2" s="1" t="inlineStr">
        <is>
          <t>RED Cases</t>
        </is>
      </c>
      <c r="D2" s="1" t="inlineStr">
        <is>
          <t>Total Onboarding</t>
        </is>
      </c>
      <c r="E2" s="1" t="inlineStr">
        <is>
          <t>RED Cases</t>
        </is>
      </c>
    </row>
    <row r="3" ht="15" customHeight="1">
      <c r="A3" s="6" t="inlineStr">
        <is>
          <t>Bangalore DC</t>
        </is>
      </c>
      <c r="B3" s="7">
        <f>COUNTIFS('Onboarding Base'!$H:$H, $A3, 'Onboarding Base'!$J:$J, B$1)</f>
        <v/>
      </c>
      <c r="C3" s="7">
        <f>COUNTIFS('Onboarding Base'!$H:$H, $A3, 'Onboarding Base'!$J:$J, B$1, 'Onboarding Base'!$U:$U, "red")</f>
        <v/>
      </c>
      <c r="D3" s="7">
        <f>COUNTIFS('Onboarding Base'!$H:$H, $A3, 'Onboarding Base'!$J:$J, D$1)</f>
        <v/>
      </c>
      <c r="E3" s="7">
        <f>COUNTIFS('Onboarding Base'!$H:$H, $A3, 'Onboarding Base'!$J:$J, D$1, 'Onboarding Base'!$U:$U, "red")</f>
        <v/>
      </c>
    </row>
    <row r="4" ht="15" customHeight="1">
      <c r="A4" s="6" t="inlineStr">
        <is>
          <t>Hyderabad DC</t>
        </is>
      </c>
      <c r="B4" s="7">
        <f>COUNTIFS('Onboarding Base'!$H:$H, $A4, 'Onboarding Base'!$J:$J, B$1)</f>
        <v/>
      </c>
      <c r="C4" s="7">
        <f>COUNTIFS('Onboarding Base'!$H:$H, $A4, 'Onboarding Base'!$J:$J, B$1, 'Onboarding Base'!$U:$U, "red")</f>
        <v/>
      </c>
      <c r="D4" s="7">
        <f>COUNTIFS('Onboarding Base'!$H:$H, $A4, 'Onboarding Base'!$J:$J, D$1)</f>
        <v/>
      </c>
      <c r="E4" s="7">
        <f>COUNTIFS('Onboarding Base'!$H:$H, $A4, 'Onboarding Base'!$J:$J, D$1, 'Onboarding Base'!$U:$U, "red")</f>
        <v/>
      </c>
    </row>
    <row r="5" ht="15" customHeight="1">
      <c r="A5" s="6" t="inlineStr">
        <is>
          <t>NCR TAURU DC</t>
        </is>
      </c>
      <c r="B5" s="7">
        <f>COUNTIFS('Onboarding Base'!$H:$H, $A5, 'Onboarding Base'!$J:$J, B$1)</f>
        <v/>
      </c>
      <c r="C5" s="7">
        <f>COUNTIFS('Onboarding Base'!$H:$H, $A5, 'Onboarding Base'!$J:$J, B$1, 'Onboarding Base'!$U:$U, "red")</f>
        <v/>
      </c>
      <c r="D5" s="7">
        <f>COUNTIFS('Onboarding Base'!$H:$H, $A5, 'Onboarding Base'!$J:$J, D$1)</f>
        <v/>
      </c>
      <c r="E5" s="7">
        <f>COUNTIFS('Onboarding Base'!$H:$H, $A5, 'Onboarding Base'!$J:$J, D$1, 'Onboarding Base'!$U:$U, "red")</f>
        <v/>
      </c>
    </row>
    <row r="6" ht="15" customHeight="1">
      <c r="A6" s="6" t="inlineStr">
        <is>
          <t>ONE NCR DC</t>
        </is>
      </c>
      <c r="B6" s="7">
        <f>COUNTIFS('Onboarding Base'!$H:$H, $A6, 'Onboarding Base'!$J:$J, B$1)</f>
        <v/>
      </c>
      <c r="C6" s="7">
        <f>COUNTIFS('Onboarding Base'!$H:$H, $A6, 'Onboarding Base'!$J:$J, B$1, 'Onboarding Base'!$U:$U, "red")</f>
        <v/>
      </c>
      <c r="D6" s="7">
        <f>COUNTIFS('Onboarding Base'!$H:$H, $A6, 'Onboarding Base'!$J:$J, D$1)</f>
        <v/>
      </c>
      <c r="E6" s="7">
        <f>COUNTIFS('Onboarding Base'!$H:$H, $A6, 'Onboarding Base'!$J:$J, D$1, 'Onboarding Base'!$U:$U, "red")</f>
        <v/>
      </c>
    </row>
    <row r="7" ht="15" customHeight="1">
      <c r="A7" s="6" t="inlineStr">
        <is>
          <t>NCR Bilaspur DC</t>
        </is>
      </c>
      <c r="B7" s="7">
        <f>COUNTIFS('Onboarding Base'!$H:$H, $A7, 'Onboarding Base'!$J:$J, B$1)</f>
        <v/>
      </c>
      <c r="C7" s="7">
        <f>COUNTIFS('Onboarding Base'!$H:$H, $A7, 'Onboarding Base'!$J:$J, B$1, 'Onboarding Base'!$U:$U, "red")</f>
        <v/>
      </c>
      <c r="D7" s="7">
        <f>COUNTIFS('Onboarding Base'!$H:$H, $A7, 'Onboarding Base'!$J:$J, D$1)</f>
        <v/>
      </c>
      <c r="E7" s="7">
        <f>COUNTIFS('Onboarding Base'!$H:$H, $A7, 'Onboarding Base'!$J:$J, D$1, 'Onboarding Base'!$U:$U, "red")</f>
        <v/>
      </c>
    </row>
    <row r="8" ht="15" customHeight="1">
      <c r="A8" s="6" t="inlineStr">
        <is>
          <t>Lucknow DC</t>
        </is>
      </c>
      <c r="B8" s="7">
        <f>COUNTIFS('Onboarding Base'!$H:$H, $A8, 'Onboarding Base'!$J:$J, B$1)</f>
        <v/>
      </c>
      <c r="C8" s="7">
        <f>COUNTIFS('Onboarding Base'!$H:$H, $A8, 'Onboarding Base'!$J:$J, B$1, 'Onboarding Base'!$U:$U, "red")</f>
        <v/>
      </c>
      <c r="D8" s="7">
        <f>COUNTIFS('Onboarding Base'!$H:$H, $A8, 'Onboarding Base'!$J:$J, D$1)</f>
        <v/>
      </c>
      <c r="E8" s="7">
        <f>COUNTIFS('Onboarding Base'!$H:$H, $A8, 'Onboarding Base'!$J:$J, D$1, 'Onboarding Base'!$U:$U, "red")</f>
        <v/>
      </c>
    </row>
    <row r="9" ht="15" customHeight="1">
      <c r="A9" s="6" t="inlineStr">
        <is>
          <t>Surat DC</t>
        </is>
      </c>
      <c r="B9" s="7">
        <f>COUNTIFS('Onboarding Base'!$H:$H, $A9, 'Onboarding Base'!$J:$J, B$1)</f>
        <v/>
      </c>
      <c r="C9" s="7">
        <f>COUNTIFS('Onboarding Base'!$H:$H, $A9, 'Onboarding Base'!$J:$J, B$1, 'Onboarding Base'!$U:$U, "red")</f>
        <v/>
      </c>
      <c r="D9" s="7">
        <f>COUNTIFS('Onboarding Base'!$H:$H, $A9, 'Onboarding Base'!$J:$J, D$1)</f>
        <v/>
      </c>
      <c r="E9" s="7">
        <f>COUNTIFS('Onboarding Base'!$H:$H, $A9, 'Onboarding Base'!$J:$J, D$1, 'Onboarding Base'!$U:$U, "red")</f>
        <v/>
      </c>
    </row>
    <row r="10" ht="15" customHeight="1">
      <c r="A10" s="6" t="inlineStr">
        <is>
          <t>Ahmedabad DC</t>
        </is>
      </c>
      <c r="B10" s="7">
        <f>COUNTIFS('Onboarding Base'!$H:$H, $A10, 'Onboarding Base'!$J:$J, B$1)</f>
        <v/>
      </c>
      <c r="C10" s="7">
        <f>COUNTIFS('Onboarding Base'!$H:$H, $A10, 'Onboarding Base'!$J:$J, B$1, 'Onboarding Base'!$U:$U, "red")</f>
        <v/>
      </c>
      <c r="D10" s="7">
        <f>COUNTIFS('Onboarding Base'!$H:$H, $A10, 'Onboarding Base'!$J:$J, D$1)</f>
        <v/>
      </c>
      <c r="E10" s="7">
        <f>COUNTIFS('Onboarding Base'!$H:$H, $A10, 'Onboarding Base'!$J:$J, D$1, 'Onboarding Base'!$U:$U, "red")</f>
        <v/>
      </c>
    </row>
    <row r="11" ht="15" customHeight="1">
      <c r="A11" s="6" t="inlineStr">
        <is>
          <t>NCR Bamnoli DC</t>
        </is>
      </c>
      <c r="B11" s="7">
        <f>COUNTIFS('Onboarding Base'!$H:$H, $A11, 'Onboarding Base'!$J:$J, B$1)</f>
        <v/>
      </c>
      <c r="C11" s="7">
        <f>COUNTIFS('Onboarding Base'!$H:$H, $A11, 'Onboarding Base'!$J:$J, B$1, 'Onboarding Base'!$U:$U, "red")</f>
        <v/>
      </c>
      <c r="D11" s="7">
        <f>COUNTIFS('Onboarding Base'!$H:$H, $A11, 'Onboarding Base'!$J:$J, D$1)</f>
        <v/>
      </c>
      <c r="E11" s="7">
        <f>COUNTIFS('Onboarding Base'!$H:$H, $A11, 'Onboarding Base'!$J:$J, D$1, 'Onboarding Base'!$U:$U, "red")</f>
        <v/>
      </c>
    </row>
    <row r="12" ht="15" customHeight="1">
      <c r="A12" s="6" t="inlineStr">
        <is>
          <t>Kolkata DC</t>
        </is>
      </c>
      <c r="B12" s="7">
        <f>COUNTIFS('Onboarding Base'!$H:$H, $A12, 'Onboarding Base'!$J:$J, B$1)</f>
        <v/>
      </c>
      <c r="C12" s="7">
        <f>COUNTIFS('Onboarding Base'!$H:$H, $A12, 'Onboarding Base'!$J:$J, B$1, 'Onboarding Base'!$U:$U, "red")</f>
        <v/>
      </c>
      <c r="D12" s="7">
        <f>COUNTIFS('Onboarding Base'!$H:$H, $A12, 'Onboarding Base'!$J:$J, D$1)</f>
        <v/>
      </c>
      <c r="E12" s="7">
        <f>COUNTIFS('Onboarding Base'!$H:$H, $A12, 'Onboarding Base'!$J:$J, D$1, 'Onboarding Base'!$U:$U, "red")</f>
        <v/>
      </c>
    </row>
    <row r="13" ht="15" customHeight="1">
      <c r="A13" s="6" t="inlineStr">
        <is>
          <t>Mumbai DC</t>
        </is>
      </c>
      <c r="B13" s="7">
        <f>COUNTIFS('Onboarding Base'!$H:$H, $A13, 'Onboarding Base'!$J:$J, B$1)</f>
        <v/>
      </c>
      <c r="C13" s="7">
        <f>COUNTIFS('Onboarding Base'!$H:$H, $A13, 'Onboarding Base'!$J:$J, B$1, 'Onboarding Base'!$U:$U, "red")</f>
        <v/>
      </c>
      <c r="D13" s="7">
        <f>COUNTIFS('Onboarding Base'!$H:$H, $A13, 'Onboarding Base'!$J:$J, D$1)</f>
        <v/>
      </c>
      <c r="E13" s="7">
        <f>COUNTIFS('Onboarding Base'!$H:$H, $A13, 'Onboarding Base'!$J:$J, D$1, 'Onboarding Base'!$U:$U, "red")</f>
        <v/>
      </c>
    </row>
    <row r="14" ht="15" customHeight="1">
      <c r="A14" s="6" t="inlineStr">
        <is>
          <t>Jaipur DC</t>
        </is>
      </c>
      <c r="B14" s="7">
        <f>COUNTIFS('Onboarding Base'!$H:$H, $A14, 'Onboarding Base'!$J:$J, B$1)</f>
        <v/>
      </c>
      <c r="C14" s="7">
        <f>COUNTIFS('Onboarding Base'!$H:$H, $A14, 'Onboarding Base'!$J:$J, B$1, 'Onboarding Base'!$U:$U, "red")</f>
        <v/>
      </c>
      <c r="D14" s="7">
        <f>COUNTIFS('Onboarding Base'!$H:$H, $A14, 'Onboarding Base'!$J:$J, D$1)</f>
        <v/>
      </c>
      <c r="E14" s="7">
        <f>COUNTIFS('Onboarding Base'!$H:$H, $A14, 'Onboarding Base'!$J:$J, D$1, 'Onboarding Base'!$U:$U, "red")</f>
        <v/>
      </c>
    </row>
    <row r="15" ht="15" customHeight="1">
      <c r="A15" s="6" t="inlineStr">
        <is>
          <t>Hyderabad REV DC</t>
        </is>
      </c>
      <c r="B15" s="7">
        <f>COUNTIFS('Onboarding Base'!$H:$H, $A15, 'Onboarding Base'!$J:$J, B$1)</f>
        <v/>
      </c>
      <c r="C15" s="7">
        <f>COUNTIFS('Onboarding Base'!$H:$H, $A15, 'Onboarding Base'!$J:$J, B$1, 'Onboarding Base'!$U:$U, "red")</f>
        <v/>
      </c>
      <c r="D15" s="7">
        <f>COUNTIFS('Onboarding Base'!$H:$H, $A15, 'Onboarding Base'!$J:$J, D$1)</f>
        <v/>
      </c>
      <c r="E15" s="7">
        <f>COUNTIFS('Onboarding Base'!$H:$H, $A15, 'Onboarding Base'!$J:$J, D$1, 'Onboarding Base'!$U:$U, "red")</f>
        <v/>
      </c>
    </row>
    <row r="16" ht="15" customHeight="1">
      <c r="A16" s="6" t="inlineStr">
        <is>
          <t>Nagpur DC</t>
        </is>
      </c>
      <c r="B16" s="7">
        <f>COUNTIFS('Onboarding Base'!$H:$H, $A16, 'Onboarding Base'!$J:$J, B$1)</f>
        <v/>
      </c>
      <c r="C16" s="7">
        <f>COUNTIFS('Onboarding Base'!$H:$H, $A16, 'Onboarding Base'!$J:$J, B$1, 'Onboarding Base'!$U:$U, "red")</f>
        <v/>
      </c>
      <c r="D16" s="7">
        <f>COUNTIFS('Onboarding Base'!$H:$H, $A16, 'Onboarding Base'!$J:$J, D$1)</f>
        <v/>
      </c>
      <c r="E16" s="7">
        <f>COUNTIFS('Onboarding Base'!$H:$H, $A16, 'Onboarding Base'!$J:$J, D$1, 'Onboarding Base'!$U:$U, "red")</f>
        <v/>
      </c>
    </row>
    <row r="17" ht="15" customHeight="1">
      <c r="A17" s="6" t="inlineStr">
        <is>
          <t>Noida DC</t>
        </is>
      </c>
      <c r="B17" s="7">
        <f>COUNTIFS('Onboarding Base'!$H:$H, $A17, 'Onboarding Base'!$J:$J, B$1)</f>
        <v/>
      </c>
      <c r="C17" s="7">
        <f>COUNTIFS('Onboarding Base'!$H:$H, $A17, 'Onboarding Base'!$J:$J, B$1, 'Onboarding Base'!$U:$U, "red")</f>
        <v/>
      </c>
      <c r="D17" s="7">
        <f>COUNTIFS('Onboarding Base'!$H:$H, $A17, 'Onboarding Base'!$J:$J, D$1)</f>
        <v/>
      </c>
      <c r="E17" s="7">
        <f>COUNTIFS('Onboarding Base'!$H:$H, $A17, 'Onboarding Base'!$J:$J, D$1, 'Onboarding Base'!$U:$U, "red")</f>
        <v/>
      </c>
    </row>
    <row r="18" ht="15" customHeight="1">
      <c r="A18" s="6" t="inlineStr">
        <is>
          <t>Chandigarh DC</t>
        </is>
      </c>
      <c r="B18" s="7">
        <f>COUNTIFS('Onboarding Base'!$H:$H, $A18, 'Onboarding Base'!$J:$J, B$1)</f>
        <v/>
      </c>
      <c r="C18" s="7">
        <f>COUNTIFS('Onboarding Base'!$H:$H, $A18, 'Onboarding Base'!$J:$J, B$1, 'Onboarding Base'!$U:$U, "red")</f>
        <v/>
      </c>
      <c r="D18" s="7">
        <f>COUNTIFS('Onboarding Base'!$H:$H, $A18, 'Onboarding Base'!$J:$J, D$1)</f>
        <v/>
      </c>
      <c r="E18" s="7">
        <f>COUNTIFS('Onboarding Base'!$H:$H, $A18, 'Onboarding Base'!$J:$J, D$1, 'Onboarding Base'!$U:$U, "red")</f>
        <v/>
      </c>
    </row>
    <row r="19" ht="15" customHeight="1">
      <c r="A19" s="6" t="inlineStr">
        <is>
          <t>Gorakhpur DC</t>
        </is>
      </c>
      <c r="B19" s="7">
        <f>COUNTIFS('Onboarding Base'!$H:$H, $A19, 'Onboarding Base'!$J:$J, B$1)</f>
        <v/>
      </c>
      <c r="C19" s="7">
        <f>COUNTIFS('Onboarding Base'!$H:$H, $A19, 'Onboarding Base'!$J:$J, B$1, 'Onboarding Base'!$U:$U, "red")</f>
        <v/>
      </c>
      <c r="D19" s="7">
        <f>COUNTIFS('Onboarding Base'!$H:$H, $A19, 'Onboarding Base'!$J:$J, D$1)</f>
        <v/>
      </c>
      <c r="E19" s="7">
        <f>COUNTIFS('Onboarding Base'!$H:$H, $A19, 'Onboarding Base'!$J:$J, D$1, 'Onboarding Base'!$U:$U, "red")</f>
        <v/>
      </c>
    </row>
    <row r="20" ht="15" customHeight="1">
      <c r="A20" s="6" t="inlineStr">
        <is>
          <t>Guwahati DC</t>
        </is>
      </c>
      <c r="B20" s="7">
        <f>COUNTIFS('Onboarding Base'!$H:$H, $A20, 'Onboarding Base'!$J:$J, B$1)</f>
        <v/>
      </c>
      <c r="C20" s="7">
        <f>COUNTIFS('Onboarding Base'!$H:$H, $A20, 'Onboarding Base'!$J:$J, B$1, 'Onboarding Base'!$U:$U, "red")</f>
        <v/>
      </c>
      <c r="D20" s="7">
        <f>COUNTIFS('Onboarding Base'!$H:$H, $A20, 'Onboarding Base'!$J:$J, D$1)</f>
        <v/>
      </c>
      <c r="E20" s="7">
        <f>COUNTIFS('Onboarding Base'!$H:$H, $A20, 'Onboarding Base'!$J:$J, D$1, 'Onboarding Base'!$U:$U, "red")</f>
        <v/>
      </c>
    </row>
    <row r="21" ht="15" customHeight="1">
      <c r="A21" s="6" t="inlineStr">
        <is>
          <t>Chennai DC</t>
        </is>
      </c>
      <c r="B21" s="7">
        <f>COUNTIFS('Onboarding Base'!$H:$H, $A21, 'Onboarding Base'!$J:$J, B$1)</f>
        <v/>
      </c>
      <c r="C21" s="7">
        <f>COUNTIFS('Onboarding Base'!$H:$H, $A21, 'Onboarding Base'!$J:$J, B$1, 'Onboarding Base'!$U:$U, "red")</f>
        <v/>
      </c>
      <c r="D21" s="7">
        <f>COUNTIFS('Onboarding Base'!$H:$H, $A21, 'Onboarding Base'!$J:$J, D$1)</f>
        <v/>
      </c>
      <c r="E21" s="7">
        <f>COUNTIFS('Onboarding Base'!$H:$H, $A21, 'Onboarding Base'!$J:$J, D$1, 'Onboarding Base'!$U:$U, "red")</f>
        <v/>
      </c>
    </row>
    <row r="22" ht="15" customHeight="1">
      <c r="A22" s="6" t="inlineStr">
        <is>
          <t>Ludhiana DC</t>
        </is>
      </c>
      <c r="B22" s="7">
        <f>COUNTIFS('Onboarding Base'!$H:$H, $A22, 'Onboarding Base'!$J:$J, B$1)</f>
        <v/>
      </c>
      <c r="C22" s="7">
        <f>COUNTIFS('Onboarding Base'!$H:$H, $A22, 'Onboarding Base'!$J:$J, B$1, 'Onboarding Base'!$U:$U, "red")</f>
        <v/>
      </c>
      <c r="D22" s="7">
        <f>COUNTIFS('Onboarding Base'!$H:$H, $A22, 'Onboarding Base'!$J:$J, D$1)</f>
        <v/>
      </c>
      <c r="E22" s="7">
        <f>COUNTIFS('Onboarding Base'!$H:$H, $A22, 'Onboarding Base'!$J:$J, D$1, 'Onboarding Base'!$U:$U, "red")</f>
        <v/>
      </c>
    </row>
    <row r="23" ht="15" customHeight="1">
      <c r="A23" s="6" t="inlineStr">
        <is>
          <t>Patna DC</t>
        </is>
      </c>
      <c r="B23" s="7">
        <f>COUNTIFS('Onboarding Base'!$H:$H, $A23, 'Onboarding Base'!$J:$J, B$1)</f>
        <v/>
      </c>
      <c r="C23" s="7">
        <f>COUNTIFS('Onboarding Base'!$H:$H, $A23, 'Onboarding Base'!$J:$J, B$1, 'Onboarding Base'!$U:$U, "red")</f>
        <v/>
      </c>
      <c r="D23" s="7">
        <f>COUNTIFS('Onboarding Base'!$H:$H, $A23, 'Onboarding Base'!$J:$J, D$1)</f>
        <v/>
      </c>
      <c r="E23" s="7">
        <f>COUNTIFS('Onboarding Base'!$H:$H, $A23, 'Onboarding Base'!$J:$J, D$1, 'Onboarding Base'!$U:$U, "red")</f>
        <v/>
      </c>
    </row>
    <row r="24" ht="15" customHeight="1">
      <c r="A24" s="6" t="inlineStr">
        <is>
          <t>Ajmer DC</t>
        </is>
      </c>
      <c r="B24" s="7">
        <f>COUNTIFS('Onboarding Base'!$H:$H, $A24, 'Onboarding Base'!$J:$J, B$1)</f>
        <v/>
      </c>
      <c r="C24" s="7">
        <f>COUNTIFS('Onboarding Base'!$H:$H, $A24, 'Onboarding Base'!$J:$J, B$1, 'Onboarding Base'!$U:$U, "red")</f>
        <v/>
      </c>
      <c r="D24" s="7">
        <f>COUNTIFS('Onboarding Base'!$H:$H, $A24, 'Onboarding Base'!$J:$J, D$1)</f>
        <v/>
      </c>
      <c r="E24" s="7">
        <f>COUNTIFS('Onboarding Base'!$H:$H, $A24, 'Onboarding Base'!$J:$J, D$1, 'Onboarding Base'!$U:$U, "red")</f>
        <v/>
      </c>
    </row>
    <row r="25" ht="15" customHeight="1">
      <c r="A25" s="6" t="inlineStr">
        <is>
          <t>OneRJT DC</t>
        </is>
      </c>
      <c r="B25" s="7">
        <f>COUNTIFS('Onboarding Base'!$H:$H, $A25, 'Onboarding Base'!$J:$J, B$1)</f>
        <v/>
      </c>
      <c r="C25" s="7">
        <f>COUNTIFS('Onboarding Base'!$H:$H, $A25, 'Onboarding Base'!$J:$J, B$1, 'Onboarding Base'!$U:$U, "red")</f>
        <v/>
      </c>
      <c r="D25" s="7">
        <f>COUNTIFS('Onboarding Base'!$H:$H, $A25, 'Onboarding Base'!$J:$J, D$1)</f>
        <v/>
      </c>
      <c r="E25" s="7">
        <f>COUNTIFS('Onboarding Base'!$H:$H, $A25, 'Onboarding Base'!$J:$J, D$1, 'Onboarding Base'!$U:$U, "red")</f>
        <v/>
      </c>
    </row>
    <row r="26" ht="15" customHeight="1">
      <c r="A26" s="6" t="inlineStr">
        <is>
          <t>TwoNCR DC</t>
        </is>
      </c>
      <c r="B26" s="7">
        <f>COUNTIFS('Onboarding Base'!$H:$H, $A26, 'Onboarding Base'!$J:$J, B$1)</f>
        <v/>
      </c>
      <c r="C26" s="7">
        <f>COUNTIFS('Onboarding Base'!$H:$H, $A26, 'Onboarding Base'!$J:$J, B$1, 'Onboarding Base'!$U:$U, "red")</f>
        <v/>
      </c>
      <c r="D26" s="7">
        <f>COUNTIFS('Onboarding Base'!$H:$H, $A26, 'Onboarding Base'!$J:$J, D$1)</f>
        <v/>
      </c>
      <c r="E26" s="7">
        <f>COUNTIFS('Onboarding Base'!$H:$H, $A26, 'Onboarding Base'!$J:$J, D$1, 'Onboarding Base'!$U:$U, "red")</f>
        <v/>
      </c>
    </row>
    <row r="27" ht="15" customHeight="1">
      <c r="A27" s="6" t="inlineStr">
        <is>
          <t>OneSRT DC</t>
        </is>
      </c>
      <c r="B27" s="7">
        <f>COUNTIFS('Onboarding Base'!$H:$H, $A27, 'Onboarding Base'!$J:$J, B$1)</f>
        <v/>
      </c>
      <c r="C27" s="7">
        <f>COUNTIFS('Onboarding Base'!$H:$H, $A27, 'Onboarding Base'!$J:$J, B$1, 'Onboarding Base'!$U:$U, "red")</f>
        <v/>
      </c>
      <c r="D27" s="7">
        <f>COUNTIFS('Onboarding Base'!$H:$H, $A27, 'Onboarding Base'!$J:$J, D$1)</f>
        <v/>
      </c>
      <c r="E27" s="7">
        <f>COUNTIFS('Onboarding Base'!$H:$H, $A27, 'Onboarding Base'!$J:$J, D$1, 'Onboarding Base'!$U:$U, "red")</f>
        <v/>
      </c>
    </row>
    <row r="28" ht="15" customHeight="1">
      <c r="A28" s="6" t="inlineStr">
        <is>
          <t>One_AMD DC</t>
        </is>
      </c>
      <c r="B28" s="7">
        <f>COUNTIFS('Onboarding Base'!$H:$H, $A28, 'Onboarding Base'!$J:$J, B$1)</f>
        <v/>
      </c>
      <c r="C28" s="7">
        <f>COUNTIFS('Onboarding Base'!$H:$H, $A28, 'Onboarding Base'!$J:$J, B$1, 'Onboarding Base'!$U:$U, "red")</f>
        <v/>
      </c>
      <c r="D28" s="7">
        <f>COUNTIFS('Onboarding Base'!$H:$H, $A28, 'Onboarding Base'!$J:$J, D$1)</f>
        <v/>
      </c>
      <c r="E28" s="7">
        <f>COUNTIFS('Onboarding Base'!$H:$H, $A28, 'Onboarding Base'!$J:$J, D$1, 'Onboarding Base'!$U:$U, "red")</f>
        <v/>
      </c>
    </row>
    <row r="29" ht="15" customHeight="1">
      <c r="A29" s="19" t="inlineStr">
        <is>
          <t>Grand Total</t>
        </is>
      </c>
      <c r="B29" s="21">
        <f>SUM(B3:B28)</f>
        <v/>
      </c>
      <c r="C29" s="21">
        <f>SUM(C3:C28)</f>
        <v/>
      </c>
      <c r="D29" s="21">
        <f>SUM(D3:D28)</f>
        <v/>
      </c>
      <c r="E29" s="21">
        <f>SUM(E3:E28)</f>
        <v/>
      </c>
    </row>
  </sheetData>
  <mergeCells count="3">
    <mergeCell ref="D1:E1"/>
    <mergeCell ref="B1:C1"/>
    <mergeCell ref="A1:A2"/>
  </mergeCells>
  <conditionalFormatting sqref="C3:C20">
    <cfRule type="cellIs" priority="1" operator="greaterThan" dxfId="0">
      <formula>0</formula>
    </cfRule>
  </conditionalFormatting>
  <conditionalFormatting sqref="E3:E20">
    <cfRule type="cellIs" priority="1" operator="greaterThan" dxfId="0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zoomScaleNormal="100" workbookViewId="0">
      <selection pane="topRight" activeCell="B1" sqref="B1"/>
      <selection pane="bottomLeft" activeCell="A3" sqref="A3"/>
      <selection pane="bottomRight" activeCell="AJ1" sqref="AJ1:AK37"/>
    </sheetView>
  </sheetViews>
  <sheetFormatPr baseColWidth="8" defaultColWidth="8.6640625" defaultRowHeight="14.4"/>
  <cols>
    <col width="16.88671875" bestFit="1" customWidth="1" min="1" max="1"/>
    <col width="15.77734375" bestFit="1" customWidth="1" min="2" max="2"/>
    <col width="9.44140625" bestFit="1" customWidth="1" min="3" max="3"/>
    <col width="15.77734375" bestFit="1" customWidth="1" min="4" max="4"/>
    <col width="9.44140625" bestFit="1" customWidth="1" min="5" max="5"/>
  </cols>
  <sheetData>
    <row r="1" ht="15.75" customHeight="1">
      <c r="A1" s="36" t="inlineStr">
        <is>
          <t>Site</t>
        </is>
      </c>
      <c r="B1" s="47" t="n"/>
      <c r="C1" s="42" t="n"/>
      <c r="D1" s="47" t="n"/>
      <c r="E1" s="42" t="n"/>
    </row>
    <row r="2" ht="39" customHeight="1">
      <c r="A2" s="44" t="n"/>
      <c r="B2" s="36" t="inlineStr">
        <is>
          <t>Total Onboarding</t>
        </is>
      </c>
      <c r="C2" s="36" t="inlineStr">
        <is>
          <t>RED Cases</t>
        </is>
      </c>
      <c r="D2" s="36" t="inlineStr">
        <is>
          <t>Total Onboarding</t>
        </is>
      </c>
      <c r="E2" s="36" t="inlineStr">
        <is>
          <t>RED Cases</t>
        </is>
      </c>
    </row>
    <row r="3" ht="15" customHeight="1">
      <c r="A3" s="6" t="inlineStr">
        <is>
          <t>Indore XD</t>
        </is>
      </c>
      <c r="B3" s="7">
        <f>COUNTIFS('Onboarding Base'!$H:$H, $A3, 'Onboarding Base'!$J:$J, B$1)</f>
        <v/>
      </c>
      <c r="C3" s="7">
        <f>COUNTIFS('Onboarding Base'!$H:$H, $A3, 'Onboarding Base'!$J:$J, B$1, 'Onboarding Base'!$U:$U, "red")</f>
        <v/>
      </c>
      <c r="D3" s="7">
        <f>COUNTIFS('Onboarding Base'!$H:$H, $A3, 'Onboarding Base'!$J:$J, D$1)</f>
        <v/>
      </c>
      <c r="E3" s="7">
        <f>COUNTIFS('Onboarding Base'!$H:$H, $A3, 'Onboarding Base'!$J:$J, D$1, 'Onboarding Base'!$U:$U, "red")</f>
        <v/>
      </c>
    </row>
    <row r="4" ht="15" customHeight="1">
      <c r="A4" s="6" t="inlineStr">
        <is>
          <t>BHUBANESWAR XD</t>
        </is>
      </c>
      <c r="B4" s="7">
        <f>COUNTIFS('Onboarding Base'!$H:$H, $A4, 'Onboarding Base'!$J:$J, B$1)</f>
        <v/>
      </c>
      <c r="C4" s="7">
        <f>COUNTIFS('Onboarding Base'!$H:$H, $A4, 'Onboarding Base'!$J:$J, B$1, 'Onboarding Base'!$U:$U, "red")</f>
        <v/>
      </c>
      <c r="D4" s="7">
        <f>COUNTIFS('Onboarding Base'!$H:$H, $A4, 'Onboarding Base'!$J:$J, D$1)</f>
        <v/>
      </c>
      <c r="E4" s="7">
        <f>COUNTIFS('Onboarding Base'!$H:$H, $A4, 'Onboarding Base'!$J:$J, D$1, 'Onboarding Base'!$U:$U, "red")</f>
        <v/>
      </c>
    </row>
    <row r="5" ht="15" customHeight="1">
      <c r="A5" s="6" t="inlineStr">
        <is>
          <t>Trichy XD</t>
        </is>
      </c>
      <c r="B5" s="7">
        <f>COUNTIFS('Onboarding Base'!$H:$H, $A5, 'Onboarding Base'!$J:$J, B$1)</f>
        <v/>
      </c>
      <c r="C5" s="7">
        <f>COUNTIFS('Onboarding Base'!$H:$H, $A5, 'Onboarding Base'!$J:$J, B$1, 'Onboarding Base'!$U:$U, "red")</f>
        <v/>
      </c>
      <c r="D5" s="7">
        <f>COUNTIFS('Onboarding Base'!$H:$H, $A5, 'Onboarding Base'!$J:$J, D$1)</f>
        <v/>
      </c>
      <c r="E5" s="7">
        <f>COUNTIFS('Onboarding Base'!$H:$H, $A5, 'Onboarding Base'!$J:$J, D$1, 'Onboarding Base'!$U:$U, "red")</f>
        <v/>
      </c>
    </row>
    <row r="6" ht="15" customHeight="1">
      <c r="A6" s="6" t="inlineStr">
        <is>
          <t>Pune XD</t>
        </is>
      </c>
      <c r="B6" s="7">
        <f>COUNTIFS('Onboarding Base'!$H:$H, $A6, 'Onboarding Base'!$J:$J, B$1)</f>
        <v/>
      </c>
      <c r="C6" s="7">
        <f>COUNTIFS('Onboarding Base'!$H:$H, $A6, 'Onboarding Base'!$J:$J, B$1, 'Onboarding Base'!$U:$U, "red")</f>
        <v/>
      </c>
      <c r="D6" s="7">
        <f>COUNTIFS('Onboarding Base'!$H:$H, $A6, 'Onboarding Base'!$J:$J, D$1)</f>
        <v/>
      </c>
      <c r="E6" s="7">
        <f>COUNTIFS('Onboarding Base'!$H:$H, $A6, 'Onboarding Base'!$J:$J, D$1, 'Onboarding Base'!$U:$U, "red")</f>
        <v/>
      </c>
    </row>
    <row r="7" ht="15" customHeight="1">
      <c r="A7" s="6" t="inlineStr">
        <is>
          <t>Ludhiana XD</t>
        </is>
      </c>
      <c r="B7" s="7">
        <f>COUNTIFS('Onboarding Base'!$H:$H, $A7, 'Onboarding Base'!$J:$J, B$1)</f>
        <v/>
      </c>
      <c r="C7" s="7">
        <f>COUNTIFS('Onboarding Base'!$H:$H, $A7, 'Onboarding Base'!$J:$J, B$1, 'Onboarding Base'!$U:$U, "red")</f>
        <v/>
      </c>
      <c r="D7" s="7">
        <f>COUNTIFS('Onboarding Base'!$H:$H, $A7, 'Onboarding Base'!$J:$J, D$1)</f>
        <v/>
      </c>
      <c r="E7" s="7">
        <f>COUNTIFS('Onboarding Base'!$H:$H, $A7, 'Onboarding Base'!$J:$J, D$1, 'Onboarding Base'!$U:$U, "red")</f>
        <v/>
      </c>
    </row>
    <row r="8" ht="15" customHeight="1">
      <c r="A8" s="6" t="inlineStr">
        <is>
          <t>Coimbatore XD</t>
        </is>
      </c>
      <c r="B8" s="7">
        <f>COUNTIFS('Onboarding Base'!$H:$H, $A8, 'Onboarding Base'!$J:$J, B$1)</f>
        <v/>
      </c>
      <c r="C8" s="7">
        <f>COUNTIFS('Onboarding Base'!$H:$H, $A8, 'Onboarding Base'!$J:$J, B$1, 'Onboarding Base'!$U:$U, "red")</f>
        <v/>
      </c>
      <c r="D8" s="7">
        <f>COUNTIFS('Onboarding Base'!$H:$H, $A8, 'Onboarding Base'!$J:$J, D$1)</f>
        <v/>
      </c>
      <c r="E8" s="7">
        <f>COUNTIFS('Onboarding Base'!$H:$H, $A8, 'Onboarding Base'!$J:$J, D$1, 'Onboarding Base'!$U:$U, "red")</f>
        <v/>
      </c>
    </row>
    <row r="9" ht="15" customHeight="1">
      <c r="A9" s="6" t="inlineStr">
        <is>
          <t>Ranchi XD</t>
        </is>
      </c>
      <c r="B9" s="7">
        <f>COUNTIFS('Onboarding Base'!$H:$H, $A9, 'Onboarding Base'!$J:$J, B$1)</f>
        <v/>
      </c>
      <c r="C9" s="7">
        <f>COUNTIFS('Onboarding Base'!$H:$H, $A9, 'Onboarding Base'!$J:$J, B$1, 'Onboarding Base'!$U:$U, "red")</f>
        <v/>
      </c>
      <c r="D9" s="7">
        <f>COUNTIFS('Onboarding Base'!$H:$H, $A9, 'Onboarding Base'!$J:$J, D$1)</f>
        <v/>
      </c>
      <c r="E9" s="7">
        <f>COUNTIFS('Onboarding Base'!$H:$H, $A9, 'Onboarding Base'!$J:$J, D$1, 'Onboarding Base'!$U:$U, "red")</f>
        <v/>
      </c>
    </row>
    <row r="10" ht="15" customHeight="1">
      <c r="A10" s="6" t="inlineStr">
        <is>
          <t>Kochi XD</t>
        </is>
      </c>
      <c r="B10" s="7">
        <f>COUNTIFS('Onboarding Base'!$H:$H, $A10, 'Onboarding Base'!$J:$J, B$1)</f>
        <v/>
      </c>
      <c r="C10" s="7">
        <f>COUNTIFS('Onboarding Base'!$H:$H, $A10, 'Onboarding Base'!$J:$J, B$1, 'Onboarding Base'!$U:$U, "red")</f>
        <v/>
      </c>
      <c r="D10" s="7">
        <f>COUNTIFS('Onboarding Base'!$H:$H, $A10, 'Onboarding Base'!$J:$J, D$1)</f>
        <v/>
      </c>
      <c r="E10" s="7">
        <f>COUNTIFS('Onboarding Base'!$H:$H, $A10, 'Onboarding Base'!$J:$J, D$1, 'Onboarding Base'!$U:$U, "red")</f>
        <v/>
      </c>
    </row>
    <row r="11" ht="15" customHeight="1">
      <c r="A11" s="6" t="inlineStr">
        <is>
          <t>Raipur XD</t>
        </is>
      </c>
      <c r="B11" s="7">
        <f>COUNTIFS('Onboarding Base'!$H:$H, $A11, 'Onboarding Base'!$J:$J, B$1)</f>
        <v/>
      </c>
      <c r="C11" s="7">
        <f>COUNTIFS('Onboarding Base'!$H:$H, $A11, 'Onboarding Base'!$J:$J, B$1, 'Onboarding Base'!$U:$U, "red")</f>
        <v/>
      </c>
      <c r="D11" s="7">
        <f>COUNTIFS('Onboarding Base'!$H:$H, $A11, 'Onboarding Base'!$J:$J, D$1)</f>
        <v/>
      </c>
      <c r="E11" s="7">
        <f>COUNTIFS('Onboarding Base'!$H:$H, $A11, 'Onboarding Base'!$J:$J, D$1, 'Onboarding Base'!$U:$U, "red")</f>
        <v/>
      </c>
    </row>
    <row r="12" ht="15" customHeight="1">
      <c r="A12" s="6" t="inlineStr">
        <is>
          <t>Vanaras XD</t>
        </is>
      </c>
      <c r="B12" s="7">
        <f>COUNTIFS('Onboarding Base'!$H:$H, $A12, 'Onboarding Base'!$J:$J, B$1)</f>
        <v/>
      </c>
      <c r="C12" s="7">
        <f>COUNTIFS('Onboarding Base'!$H:$H, $A12, 'Onboarding Base'!$J:$J, B$1, 'Onboarding Base'!$U:$U, "red")</f>
        <v/>
      </c>
      <c r="D12" s="7">
        <f>COUNTIFS('Onboarding Base'!$H:$H, $A12, 'Onboarding Base'!$J:$J, D$1)</f>
        <v/>
      </c>
      <c r="E12" s="7">
        <f>COUNTIFS('Onboarding Base'!$H:$H, $A12, 'Onboarding Base'!$J:$J, D$1, 'Onboarding Base'!$U:$U, "red")</f>
        <v/>
      </c>
    </row>
    <row r="13" ht="15" customHeight="1">
      <c r="A13" s="6" t="inlineStr">
        <is>
          <t>Vijayawada XD</t>
        </is>
      </c>
      <c r="B13" s="7">
        <f>COUNTIFS('Onboarding Base'!$H:$H, $A13, 'Onboarding Base'!$J:$J, B$1)</f>
        <v/>
      </c>
      <c r="C13" s="7">
        <f>COUNTIFS('Onboarding Base'!$H:$H, $A13, 'Onboarding Base'!$J:$J, B$1, 'Onboarding Base'!$U:$U, "red")</f>
        <v/>
      </c>
      <c r="D13" s="7">
        <f>COUNTIFS('Onboarding Base'!$H:$H, $A13, 'Onboarding Base'!$J:$J, D$1)</f>
        <v/>
      </c>
      <c r="E13" s="7">
        <f>COUNTIFS('Onboarding Base'!$H:$H, $A13, 'Onboarding Base'!$J:$J, D$1, 'Onboarding Base'!$U:$U, "red")</f>
        <v/>
      </c>
    </row>
    <row r="14" ht="15" customHeight="1">
      <c r="A14" s="6" t="inlineStr">
        <is>
          <t>Visakhapatnam XD</t>
        </is>
      </c>
      <c r="B14" s="7">
        <f>COUNTIFS('Onboarding Base'!$H:$H, $A14, 'Onboarding Base'!$J:$J, B$1)</f>
        <v/>
      </c>
      <c r="C14" s="7">
        <f>COUNTIFS('Onboarding Base'!$H:$H, $A14, 'Onboarding Base'!$J:$J, B$1, 'Onboarding Base'!$U:$U, "red")</f>
        <v/>
      </c>
      <c r="D14" s="7">
        <f>COUNTIFS('Onboarding Base'!$H:$H, $A14, 'Onboarding Base'!$J:$J, D$1)</f>
        <v/>
      </c>
      <c r="E14" s="7">
        <f>COUNTIFS('Onboarding Base'!$H:$H, $A14, 'Onboarding Base'!$J:$J, D$1, 'Onboarding Base'!$U:$U, "red")</f>
        <v/>
      </c>
    </row>
    <row r="15" ht="15" customHeight="1">
      <c r="A15" s="6" t="inlineStr">
        <is>
          <t>Hubli XD</t>
        </is>
      </c>
      <c r="B15" s="7">
        <f>COUNTIFS('Onboarding Base'!$H:$H, $A15, 'Onboarding Base'!$J:$J, B$1)</f>
        <v/>
      </c>
      <c r="C15" s="7">
        <f>COUNTIFS('Onboarding Base'!$H:$H, $A15, 'Onboarding Base'!$J:$J, B$1, 'Onboarding Base'!$U:$U, "red")</f>
        <v/>
      </c>
      <c r="D15" s="7">
        <f>COUNTIFS('Onboarding Base'!$H:$H, $A15, 'Onboarding Base'!$J:$J, D$1)</f>
        <v/>
      </c>
      <c r="E15" s="7">
        <f>COUNTIFS('Onboarding Base'!$H:$H, $A15, 'Onboarding Base'!$J:$J, D$1, 'Onboarding Base'!$U:$U, "red")</f>
        <v/>
      </c>
    </row>
    <row r="16" ht="15" customHeight="1">
      <c r="A16" s="6" t="inlineStr">
        <is>
          <t>Kozhikode XD</t>
        </is>
      </c>
      <c r="B16" s="7">
        <f>COUNTIFS('Onboarding Base'!$H:$H, $A16, 'Onboarding Base'!$J:$J, B$1)</f>
        <v/>
      </c>
      <c r="C16" s="7">
        <f>COUNTIFS('Onboarding Base'!$H:$H, $A16, 'Onboarding Base'!$J:$J, B$1, 'Onboarding Base'!$U:$U, "red")</f>
        <v/>
      </c>
      <c r="D16" s="7">
        <f>COUNTIFS('Onboarding Base'!$H:$H, $A16, 'Onboarding Base'!$J:$J, D$1)</f>
        <v/>
      </c>
      <c r="E16" s="7">
        <f>COUNTIFS('Onboarding Base'!$H:$H, $A16, 'Onboarding Base'!$J:$J, D$1, 'Onboarding Base'!$U:$U, "red")</f>
        <v/>
      </c>
    </row>
    <row r="17" ht="15" customHeight="1">
      <c r="A17" s="6" t="inlineStr">
        <is>
          <t>Bhopal XD</t>
        </is>
      </c>
      <c r="B17" s="7">
        <f>COUNTIFS('Onboarding Base'!$H:$H, $A17, 'Onboarding Base'!$J:$J, B$1)</f>
        <v/>
      </c>
      <c r="C17" s="7">
        <f>COUNTIFS('Onboarding Base'!$H:$H, $A17, 'Onboarding Base'!$J:$J, B$1, 'Onboarding Base'!$U:$U, "red")</f>
        <v/>
      </c>
      <c r="D17" s="7">
        <f>COUNTIFS('Onboarding Base'!$H:$H, $A17, 'Onboarding Base'!$J:$J, D$1)</f>
        <v/>
      </c>
      <c r="E17" s="7">
        <f>COUNTIFS('Onboarding Base'!$H:$H, $A17, 'Onboarding Base'!$J:$J, D$1, 'Onboarding Base'!$U:$U, "red")</f>
        <v/>
      </c>
    </row>
    <row r="18" ht="15" customHeight="1">
      <c r="A18" s="6" t="inlineStr">
        <is>
          <t>Madurai XD</t>
        </is>
      </c>
      <c r="B18" s="7">
        <f>COUNTIFS('Onboarding Base'!$H:$H, $A18, 'Onboarding Base'!$J:$J, B$1)</f>
        <v/>
      </c>
      <c r="C18" s="7">
        <f>COUNTIFS('Onboarding Base'!$H:$H, $A18, 'Onboarding Base'!$J:$J, B$1, 'Onboarding Base'!$U:$U, "red")</f>
        <v/>
      </c>
      <c r="D18" s="7">
        <f>COUNTIFS('Onboarding Base'!$H:$H, $A18, 'Onboarding Base'!$J:$J, D$1)</f>
        <v/>
      </c>
      <c r="E18" s="7">
        <f>COUNTIFS('Onboarding Base'!$H:$H, $A18, 'Onboarding Base'!$J:$J, D$1, 'Onboarding Base'!$U:$U, "red")</f>
        <v/>
      </c>
    </row>
    <row r="19" ht="15" customHeight="1">
      <c r="A19" s="6" t="inlineStr">
        <is>
          <t>Kanpur XD</t>
        </is>
      </c>
      <c r="B19" s="7">
        <f>COUNTIFS('Onboarding Base'!$H:$H, $A19, 'Onboarding Base'!$J:$J, B$1)</f>
        <v/>
      </c>
      <c r="C19" s="7">
        <f>COUNTIFS('Onboarding Base'!$H:$H, $A19, 'Onboarding Base'!$J:$J, B$1, 'Onboarding Base'!$U:$U, "red")</f>
        <v/>
      </c>
      <c r="D19" s="7">
        <f>COUNTIFS('Onboarding Base'!$H:$H, $A19, 'Onboarding Base'!$J:$J, D$1)</f>
        <v/>
      </c>
      <c r="E19" s="7">
        <f>COUNTIFS('Onboarding Base'!$H:$H, $A19, 'Onboarding Base'!$J:$J, D$1, 'Onboarding Base'!$U:$U, "red")</f>
        <v/>
      </c>
    </row>
    <row r="20" ht="15" customHeight="1">
      <c r="A20" s="6" t="inlineStr">
        <is>
          <t>Siliguri XD</t>
        </is>
      </c>
      <c r="B20" s="7">
        <f>COUNTIFS('Onboarding Base'!$H:$H, $A20, 'Onboarding Base'!$J:$J, B$1)</f>
        <v/>
      </c>
      <c r="C20" s="7">
        <f>COUNTIFS('Onboarding Base'!$H:$H, $A20, 'Onboarding Base'!$J:$J, B$1, 'Onboarding Base'!$U:$U, "red")</f>
        <v/>
      </c>
      <c r="D20" s="7">
        <f>COUNTIFS('Onboarding Base'!$H:$H, $A20, 'Onboarding Base'!$J:$J, D$1)</f>
        <v/>
      </c>
      <c r="E20" s="7">
        <f>COUNTIFS('Onboarding Base'!$H:$H, $A20, 'Onboarding Base'!$J:$J, D$1, 'Onboarding Base'!$U:$U, "red")</f>
        <v/>
      </c>
    </row>
    <row r="21" ht="15" customHeight="1">
      <c r="A21" s="6" t="inlineStr">
        <is>
          <t>Jammu XD</t>
        </is>
      </c>
      <c r="B21" s="7">
        <f>COUNTIFS('Onboarding Base'!$H:$H, $A21, 'Onboarding Base'!$J:$J, B$1)</f>
        <v/>
      </c>
      <c r="C21" s="7">
        <f>COUNTIFS('Onboarding Base'!$H:$H, $A21, 'Onboarding Base'!$J:$J, B$1, 'Onboarding Base'!$U:$U, "red")</f>
        <v/>
      </c>
      <c r="D21" s="7">
        <f>COUNTIFS('Onboarding Base'!$H:$H, $A21, 'Onboarding Base'!$J:$J, D$1)</f>
        <v/>
      </c>
      <c r="E21" s="7">
        <f>COUNTIFS('Onboarding Base'!$H:$H, $A21, 'Onboarding Base'!$J:$J, D$1, 'Onboarding Base'!$U:$U, "red")</f>
        <v/>
      </c>
    </row>
    <row r="22" ht="15" customHeight="1">
      <c r="A22" s="6" t="inlineStr">
        <is>
          <t>Rajahmundry XD</t>
        </is>
      </c>
      <c r="B22" s="7">
        <f>COUNTIFS('Onboarding Base'!$H:$H, $A22, 'Onboarding Base'!$J:$J, B$1)</f>
        <v/>
      </c>
      <c r="C22" s="7">
        <f>COUNTIFS('Onboarding Base'!$H:$H, $A22, 'Onboarding Base'!$J:$J, B$1, 'Onboarding Base'!$U:$U, "red")</f>
        <v/>
      </c>
      <c r="D22" s="7">
        <f>COUNTIFS('Onboarding Base'!$H:$H, $A22, 'Onboarding Base'!$J:$J, D$1)</f>
        <v/>
      </c>
      <c r="E22" s="7">
        <f>COUNTIFS('Onboarding Base'!$H:$H, $A22, 'Onboarding Base'!$J:$J, D$1, 'Onboarding Base'!$U:$U, "red")</f>
        <v/>
      </c>
    </row>
    <row r="23" ht="15" customHeight="1">
      <c r="A23" s="6" t="inlineStr">
        <is>
          <t>Purnia XD</t>
        </is>
      </c>
      <c r="B23" s="7">
        <f>COUNTIFS('Onboarding Base'!$H:$H, $A23, 'Onboarding Base'!$J:$J, B$1)</f>
        <v/>
      </c>
      <c r="C23" s="7">
        <f>COUNTIFS('Onboarding Base'!$H:$H, $A23, 'Onboarding Base'!$J:$J, B$1, 'Onboarding Base'!$U:$U, "red")</f>
        <v/>
      </c>
      <c r="D23" s="7">
        <f>COUNTIFS('Onboarding Base'!$H:$H, $A23, 'Onboarding Base'!$J:$J, D$1)</f>
        <v/>
      </c>
      <c r="E23" s="7">
        <f>COUNTIFS('Onboarding Base'!$H:$H, $A23, 'Onboarding Base'!$J:$J, D$1, 'Onboarding Base'!$U:$U, "red")</f>
        <v/>
      </c>
    </row>
    <row r="24" ht="15" customHeight="1">
      <c r="A24" s="6" t="inlineStr">
        <is>
          <t>Udaipur XD</t>
        </is>
      </c>
      <c r="B24" s="7">
        <f>COUNTIFS('Onboarding Base'!$H:$H, $A24, 'Onboarding Base'!$J:$J, B$1)</f>
        <v/>
      </c>
      <c r="C24" s="7">
        <f>COUNTIFS('Onboarding Base'!$H:$H, $A24, 'Onboarding Base'!$J:$J, B$1, 'Onboarding Base'!$U:$U, "red")</f>
        <v/>
      </c>
      <c r="D24" s="7">
        <f>COUNTIFS('Onboarding Base'!$H:$H, $A24, 'Onboarding Base'!$J:$J, D$1)</f>
        <v/>
      </c>
      <c r="E24" s="7">
        <f>COUNTIFS('Onboarding Base'!$H:$H, $A24, 'Onboarding Base'!$J:$J, D$1, 'Onboarding Base'!$U:$U, "red")</f>
        <v/>
      </c>
    </row>
    <row r="25" ht="15" customHeight="1">
      <c r="A25" s="6" t="inlineStr">
        <is>
          <t>Mysore XD</t>
        </is>
      </c>
      <c r="B25" s="7">
        <f>COUNTIFS('Onboarding Base'!$H:$H, $A25, 'Onboarding Base'!$J:$J, B$1)</f>
        <v/>
      </c>
      <c r="C25" s="7">
        <f>COUNTIFS('Onboarding Base'!$H:$H, $A25, 'Onboarding Base'!$J:$J, B$1, 'Onboarding Base'!$U:$U, "red")</f>
        <v/>
      </c>
      <c r="D25" s="7">
        <f>COUNTIFS('Onboarding Base'!$H:$H, $A25, 'Onboarding Base'!$J:$J, D$1)</f>
        <v/>
      </c>
      <c r="E25" s="7">
        <f>COUNTIFS('Onboarding Base'!$H:$H, $A25, 'Onboarding Base'!$J:$J, D$1, 'Onboarding Base'!$U:$U, "red")</f>
        <v/>
      </c>
    </row>
    <row r="26" ht="15" customHeight="1">
      <c r="A26" s="6" t="inlineStr">
        <is>
          <t>Aurangabad XD</t>
        </is>
      </c>
      <c r="B26" s="7">
        <f>COUNTIFS('Onboarding Base'!$H:$H, $A26, 'Onboarding Base'!$J:$J, B$1)</f>
        <v/>
      </c>
      <c r="C26" s="7">
        <f>COUNTIFS('Onboarding Base'!$H:$H, $A26, 'Onboarding Base'!$J:$J, B$1, 'Onboarding Base'!$U:$U, "red")</f>
        <v/>
      </c>
      <c r="D26" s="7">
        <f>COUNTIFS('Onboarding Base'!$H:$H, $A26, 'Onboarding Base'!$J:$J, D$1)</f>
        <v/>
      </c>
      <c r="E26" s="7">
        <f>COUNTIFS('Onboarding Base'!$H:$H, $A26, 'Onboarding Base'!$J:$J, D$1, 'Onboarding Base'!$U:$U, "red")</f>
        <v/>
      </c>
    </row>
    <row r="27" ht="15" customHeight="1">
      <c r="A27" s="6" t="inlineStr">
        <is>
          <t>SAMBALPUR XD</t>
        </is>
      </c>
      <c r="B27" s="7">
        <f>COUNTIFS('Onboarding Base'!$H:$H, $A27, 'Onboarding Base'!$J:$J, B$1)</f>
        <v/>
      </c>
      <c r="C27" s="7">
        <f>COUNTIFS('Onboarding Base'!$H:$H, $A27, 'Onboarding Base'!$J:$J, B$1, 'Onboarding Base'!$U:$U, "red")</f>
        <v/>
      </c>
      <c r="D27" s="7">
        <f>COUNTIFS('Onboarding Base'!$H:$H, $A27, 'Onboarding Base'!$J:$J, D$1)</f>
        <v/>
      </c>
      <c r="E27" s="7">
        <f>COUNTIFS('Onboarding Base'!$H:$H, $A27, 'Onboarding Base'!$J:$J, D$1, 'Onboarding Base'!$U:$U, "red")</f>
        <v/>
      </c>
    </row>
    <row r="28" ht="15" customHeight="1">
      <c r="A28" s="6" t="inlineStr">
        <is>
          <t>SILCHAR XD</t>
        </is>
      </c>
      <c r="B28" s="7">
        <f>COUNTIFS('Onboarding Base'!$H:$H, $A28, 'Onboarding Base'!$J:$J, B$1)</f>
        <v/>
      </c>
      <c r="C28" s="7">
        <f>COUNTIFS('Onboarding Base'!$H:$H, $A28, 'Onboarding Base'!$J:$J, B$1, 'Onboarding Base'!$U:$U, "red")</f>
        <v/>
      </c>
      <c r="D28" s="7">
        <f>COUNTIFS('Onboarding Base'!$H:$H, $A28, 'Onboarding Base'!$J:$J, D$1)</f>
        <v/>
      </c>
      <c r="E28" s="7">
        <f>COUNTIFS('Onboarding Base'!$H:$H, $A28, 'Onboarding Base'!$J:$J, D$1, 'Onboarding Base'!$U:$U, "red")</f>
        <v/>
      </c>
    </row>
    <row r="29" ht="15" customHeight="1">
      <c r="A29" s="6" t="inlineStr">
        <is>
          <t>Malda XD</t>
        </is>
      </c>
      <c r="B29" s="7">
        <f>COUNTIFS('Onboarding Base'!$H:$H, $A29, 'Onboarding Base'!$J:$J, B$1)</f>
        <v/>
      </c>
      <c r="C29" s="7">
        <f>COUNTIFS('Onboarding Base'!$H:$H, $A29, 'Onboarding Base'!$J:$J, B$1, 'Onboarding Base'!$U:$U, "red")</f>
        <v/>
      </c>
      <c r="D29" s="7">
        <f>COUNTIFS('Onboarding Base'!$H:$H, $A29, 'Onboarding Base'!$J:$J, D$1)</f>
        <v/>
      </c>
      <c r="E29" s="7">
        <f>COUNTIFS('Onboarding Base'!$H:$H, $A29, 'Onboarding Base'!$J:$J, D$1, 'Onboarding Base'!$U:$U, "red")</f>
        <v/>
      </c>
    </row>
    <row r="30" ht="15" customHeight="1">
      <c r="A30" s="6" t="inlineStr">
        <is>
          <t>Chennai XD</t>
        </is>
      </c>
      <c r="B30" s="7">
        <f>COUNTIFS('Onboarding Base'!$H:$H, $A30, 'Onboarding Base'!$J:$J, B$1)</f>
        <v/>
      </c>
      <c r="C30" s="7">
        <f>COUNTIFS('Onboarding Base'!$H:$H, $A30, 'Onboarding Base'!$J:$J, B$1, 'Onboarding Base'!$U:$U, "red")</f>
        <v/>
      </c>
      <c r="D30" s="7">
        <f>COUNTIFS('Onboarding Base'!$H:$H, $A30, 'Onboarding Base'!$J:$J, D$1)</f>
        <v/>
      </c>
      <c r="E30" s="7">
        <f>COUNTIFS('Onboarding Base'!$H:$H, $A30, 'Onboarding Base'!$J:$J, D$1, 'Onboarding Base'!$U:$U, "red")</f>
        <v/>
      </c>
    </row>
    <row r="31" ht="15" customHeight="1">
      <c r="A31" s="6" t="inlineStr">
        <is>
          <t>JABALPUR XD</t>
        </is>
      </c>
      <c r="B31" s="7">
        <f>COUNTIFS('Onboarding Base'!$H:$H, $A31, 'Onboarding Base'!$J:$J, B$1)</f>
        <v/>
      </c>
      <c r="C31" s="7">
        <f>COUNTIFS('Onboarding Base'!$H:$H, $A31, 'Onboarding Base'!$J:$J, B$1, 'Onboarding Base'!$U:$U, "red")</f>
        <v/>
      </c>
      <c r="D31" s="7">
        <f>COUNTIFS('Onboarding Base'!$H:$H, $A31, 'Onboarding Base'!$J:$J, D$1)</f>
        <v/>
      </c>
      <c r="E31" s="7">
        <f>COUNTIFS('Onboarding Base'!$H:$H, $A31, 'Onboarding Base'!$J:$J, D$1, 'Onboarding Base'!$U:$U, "red")</f>
        <v/>
      </c>
    </row>
    <row r="32" ht="15" customHeight="1">
      <c r="A32" s="6" t="inlineStr">
        <is>
          <t>Moradabad XD</t>
        </is>
      </c>
      <c r="B32" s="7">
        <f>COUNTIFS('Onboarding Base'!$H:$H, $A32, 'Onboarding Base'!$J:$J, B$1)</f>
        <v/>
      </c>
      <c r="C32" s="7">
        <f>COUNTIFS('Onboarding Base'!$H:$H, $A32, 'Onboarding Base'!$J:$J, B$1, 'Onboarding Base'!$U:$U, "red")</f>
        <v/>
      </c>
      <c r="D32" s="7">
        <f>COUNTIFS('Onboarding Base'!$H:$H, $A32, 'Onboarding Base'!$J:$J, D$1)</f>
        <v/>
      </c>
      <c r="E32" s="7">
        <f>COUNTIFS('Onboarding Base'!$H:$H, $A32, 'Onboarding Base'!$J:$J, D$1, 'Onboarding Base'!$U:$U, "red")</f>
        <v/>
      </c>
    </row>
    <row r="33" ht="15" customHeight="1">
      <c r="A33" s="6" t="inlineStr">
        <is>
          <t>Patna XD</t>
        </is>
      </c>
      <c r="B33" s="7">
        <f>COUNTIFS('Onboarding Base'!$H:$H, $A33, 'Onboarding Base'!$J:$J, B$1)</f>
        <v/>
      </c>
      <c r="C33" s="7">
        <f>COUNTIFS('Onboarding Base'!$H:$H, $A33, 'Onboarding Base'!$J:$J, B$1, 'Onboarding Base'!$U:$U, "red")</f>
        <v/>
      </c>
      <c r="D33" s="7">
        <f>COUNTIFS('Onboarding Base'!$H:$H, $A33, 'Onboarding Base'!$J:$J, D$1)</f>
        <v/>
      </c>
      <c r="E33" s="7">
        <f>COUNTIFS('Onboarding Base'!$H:$H, $A33, 'Onboarding Base'!$J:$J, D$1, 'Onboarding Base'!$U:$U, "red")</f>
        <v/>
      </c>
    </row>
    <row r="34" ht="15" customHeight="1">
      <c r="A34" s="6" t="inlineStr">
        <is>
          <t>Chandigarh XD</t>
        </is>
      </c>
      <c r="B34" s="7">
        <f>COUNTIFS('Onboarding Base'!$H:$H, $A34, 'Onboarding Base'!$J:$J, B$1)</f>
        <v/>
      </c>
      <c r="C34" s="7">
        <f>COUNTIFS('Onboarding Base'!$H:$H, $A34, 'Onboarding Base'!$J:$J, B$1, 'Onboarding Base'!$U:$U, "red")</f>
        <v/>
      </c>
      <c r="D34" s="7">
        <f>COUNTIFS('Onboarding Base'!$H:$H, $A34, 'Onboarding Base'!$J:$J, D$1)</f>
        <v/>
      </c>
      <c r="E34" s="7">
        <f>COUNTIFS('Onboarding Base'!$H:$H, $A34, 'Onboarding Base'!$J:$J, D$1, 'Onboarding Base'!$U:$U, "red")</f>
        <v/>
      </c>
    </row>
    <row r="35" ht="15" customHeight="1">
      <c r="A35" s="6" t="inlineStr">
        <is>
          <t>Jodhpur XD</t>
        </is>
      </c>
      <c r="B35" s="7">
        <f>COUNTIFS('Onboarding Base'!$H:$H, $A35, 'Onboarding Base'!$J:$J, B$1)</f>
        <v/>
      </c>
      <c r="C35" s="7">
        <f>COUNTIFS('Onboarding Base'!$H:$H, $A35, 'Onboarding Base'!$J:$J, B$1, 'Onboarding Base'!$U:$U, "red")</f>
        <v/>
      </c>
      <c r="D35" s="7">
        <f>COUNTIFS('Onboarding Base'!$H:$H, $A35, 'Onboarding Base'!$J:$J, D$1)</f>
        <v/>
      </c>
      <c r="E35" s="7">
        <f>COUNTIFS('Onboarding Base'!$H:$H, $A35, 'Onboarding Base'!$J:$J, D$1, 'Onboarding Base'!$U:$U, "red")</f>
        <v/>
      </c>
    </row>
    <row r="36" ht="15" customHeight="1">
      <c r="A36" s="6" t="inlineStr">
        <is>
          <t>varanasi XD</t>
        </is>
      </c>
      <c r="B36" s="7">
        <f>COUNTIFS('Onboarding Base'!$H:$H, $A36, 'Onboarding Base'!$J:$J, B$1)</f>
        <v/>
      </c>
      <c r="C36" s="7">
        <f>COUNTIFS('Onboarding Base'!$H:$H, $A36, 'Onboarding Base'!$J:$J, B$1, 'Onboarding Base'!$U:$U, "red")</f>
        <v/>
      </c>
      <c r="D36" s="7">
        <f>COUNTIFS('Onboarding Base'!$H:$H, $A36, 'Onboarding Base'!$J:$J, D$1)</f>
        <v/>
      </c>
      <c r="E36" s="7">
        <f>COUNTIFS('Onboarding Base'!$H:$H, $A36, 'Onboarding Base'!$J:$J, D$1, 'Onboarding Base'!$U:$U, "red")</f>
        <v/>
      </c>
    </row>
    <row r="37" ht="15" customHeight="1">
      <c r="A37" s="6" t="inlineStr">
        <is>
          <t>Dibrugarh XD</t>
        </is>
      </c>
      <c r="B37" s="7">
        <f>COUNTIFS('Onboarding Base'!$H:$H, $A37, 'Onboarding Base'!$J:$J, B$1)</f>
        <v/>
      </c>
      <c r="C37" s="7">
        <f>COUNTIFS('Onboarding Base'!$H:$H, $A37, 'Onboarding Base'!$J:$J, B$1, 'Onboarding Base'!$U:$U, "red")</f>
        <v/>
      </c>
      <c r="D37" s="7">
        <f>COUNTIFS('Onboarding Base'!$H:$H, $A37, 'Onboarding Base'!$J:$J, D$1)</f>
        <v/>
      </c>
      <c r="E37" s="7">
        <f>COUNTIFS('Onboarding Base'!$H:$H, $A37, 'Onboarding Base'!$J:$J, D$1, 'Onboarding Base'!$U:$U, "red")</f>
        <v/>
      </c>
    </row>
    <row r="38" ht="15" customHeight="1">
      <c r="A38" s="19" t="inlineStr">
        <is>
          <t>Grand Total</t>
        </is>
      </c>
      <c r="B38" s="21">
        <f>SUM(B3:B37)</f>
        <v/>
      </c>
      <c r="C38" s="21">
        <f>SUM(C3:C37)</f>
        <v/>
      </c>
      <c r="D38" s="21">
        <f>SUM(D3:D37)</f>
        <v/>
      </c>
      <c r="E38" s="21">
        <f>SUM(E3:E37)</f>
        <v/>
      </c>
    </row>
  </sheetData>
  <mergeCells count="3">
    <mergeCell ref="D1:E1"/>
    <mergeCell ref="B1:C1"/>
    <mergeCell ref="A1:A2"/>
  </mergeCells>
  <conditionalFormatting sqref="C3:C33">
    <cfRule type="cellIs" priority="1" operator="greaterThan" dxfId="0">
      <formula>0</formula>
    </cfRule>
  </conditionalFormatting>
  <conditionalFormatting sqref="E3:E33">
    <cfRule type="cellIs" priority="1" operator="greaterThan" dxfId="0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pane="bottomLeft" activeCell="B13" sqref="B13"/>
    </sheetView>
  </sheetViews>
  <sheetFormatPr baseColWidth="8" defaultColWidth="8.6640625" defaultRowHeight="14.4"/>
  <cols>
    <col width="36" customWidth="1" min="1" max="1"/>
    <col width="25" customWidth="1" min="2" max="2"/>
  </cols>
  <sheetData>
    <row r="1" ht="24" customHeight="1">
      <c r="A1" s="22" t="inlineStr">
        <is>
          <t>Approved by</t>
        </is>
      </c>
      <c r="B1" s="1" t="inlineStr">
        <is>
          <t>Count of Manual cases</t>
        </is>
      </c>
    </row>
    <row r="2" ht="19.5" customHeight="1">
      <c r="A2" s="6" t="n"/>
      <c r="B2" s="7">
        <f>COUNTIFS('Onboarding Base'!$O:$O, $A2, 'Onboarding Base'!$P:$P, "N")</f>
        <v/>
      </c>
    </row>
    <row r="3" ht="19.5" customHeight="1"/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21.7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1048575" ht="12.75" customHeight="1"/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Normal="100" workbookViewId="0">
      <selection pane="bottomLeft" activeCell="B2" sqref="B2"/>
    </sheetView>
  </sheetViews>
  <sheetFormatPr baseColWidth="8" defaultColWidth="8.6640625" defaultRowHeight="14.4"/>
  <cols>
    <col width="30" customWidth="1" min="1" max="1"/>
    <col width="22" customWidth="1" min="2" max="2"/>
  </cols>
  <sheetData>
    <row r="1" ht="24" customHeight="1">
      <c r="A1" s="22" t="inlineStr">
        <is>
          <t>Approved by</t>
        </is>
      </c>
      <c r="B1" s="1" t="inlineStr">
        <is>
          <t>Count of RED cases</t>
        </is>
      </c>
    </row>
    <row r="2" ht="19.5" customHeight="1">
      <c r="A2" s="6" t="n"/>
      <c r="B2" s="7">
        <f>COUNTIFS('Onboarding Base'!$O:$O, $A2, 'Onboarding Base'!$U:$U, "red")</f>
        <v/>
      </c>
    </row>
    <row r="3" ht="19.5" customHeight="1"/>
    <row r="4" ht="19.5" customHeight="1"/>
    <row r="5" ht="19.5" customHeight="1"/>
    <row r="6" ht="21.7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1048571" ht="12.75" customHeight="1"/>
    <row r="1048572" ht="12.75" customHeight="1"/>
  </sheetData>
  <autoFilter ref="A1:B1"/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"/>
  <sheetViews>
    <sheetView zoomScaleNormal="100" workbookViewId="0">
      <selection pane="bottomLeft" activeCell="B7" sqref="B7"/>
    </sheetView>
  </sheetViews>
  <sheetFormatPr baseColWidth="8" defaultColWidth="8.6640625" defaultRowHeight="14.4"/>
  <cols>
    <col width="15" customWidth="1" min="1" max="1"/>
    <col width="48" customWidth="1" min="2" max="2"/>
    <col width="23" customWidth="1" min="3" max="3"/>
    <col width="13" customWidth="1" min="4" max="4"/>
    <col width="23" customWidth="1" min="5" max="5"/>
    <col width="12" customWidth="1" min="6" max="6"/>
    <col width="21" customWidth="1" min="7" max="7"/>
    <col width="22" customWidth="1" min="8" max="8"/>
    <col width="18" customWidth="1" min="9" max="9"/>
    <col width="17" customWidth="1" min="10" max="11"/>
    <col width="19" customWidth="1" min="12" max="12"/>
    <col width="50" customWidth="1" min="13" max="13"/>
    <col width="14" customWidth="1" min="14" max="14"/>
    <col width="35" customWidth="1" min="15" max="15"/>
    <col width="29" customWidth="1" min="16" max="16"/>
    <col width="26" customWidth="1" min="17" max="17"/>
    <col width="16" customWidth="1" min="18" max="19"/>
    <col width="27" customWidth="1" min="20" max="20"/>
    <col width="20" customWidth="1" min="21" max="21"/>
    <col width="50" customWidth="1" min="22" max="22"/>
    <col width="16" customWidth="1" min="23" max="23"/>
    <col width="17" customWidth="1" min="24" max="24"/>
    <col width="41" customWidth="1" min="25" max="25"/>
    <col width="50" customWidth="1" min="26" max="26"/>
    <col width="12" customWidth="1" min="27" max="27"/>
  </cols>
  <sheetData>
    <row r="1" ht="24" customHeight="1">
      <c r="A1" t="inlineStr">
        <is>
          <t>ID</t>
        </is>
      </c>
      <c r="B1" t="inlineStr">
        <is>
          <t>Name</t>
        </is>
      </c>
      <c r="C1" t="inlineStr">
        <is>
          <t>Status</t>
        </is>
      </c>
      <c r="D1" t="inlineStr">
        <is>
          <t>Sub Status</t>
        </is>
      </c>
      <c r="E1" t="inlineStr">
        <is>
          <t>Role</t>
        </is>
      </c>
      <c r="F1" t="inlineStr">
        <is>
          <t>Role Type</t>
        </is>
      </c>
      <c r="G1" t="inlineStr">
        <is>
          <t>Department</t>
        </is>
      </c>
      <c r="H1" t="inlineStr">
        <is>
          <t>Registered Facility</t>
        </is>
      </c>
      <c r="I1" t="inlineStr">
        <is>
          <t>Registered Date</t>
        </is>
      </c>
      <c r="J1" t="inlineStr">
        <is>
          <t>Onboarded Date</t>
        </is>
      </c>
      <c r="K1" t="inlineStr">
        <is>
          <t>Rejection Date</t>
        </is>
      </c>
      <c r="L1" t="inlineStr">
        <is>
          <t>Rejection Reason</t>
        </is>
      </c>
      <c r="M1" t="inlineStr">
        <is>
          <t>Vendor</t>
        </is>
      </c>
      <c r="N1" t="inlineStr">
        <is>
          <t>Lead Source</t>
        </is>
      </c>
      <c r="O1" t="inlineStr">
        <is>
          <t>Approved By</t>
        </is>
      </c>
      <c r="P1" t="inlineStr">
        <is>
          <t>Onboarded by Aadhaar (Y/N)</t>
        </is>
      </c>
      <c r="Q1" t="inlineStr">
        <is>
          <t>Present Count Since DOJ</t>
        </is>
      </c>
      <c r="R1" t="inlineStr">
        <is>
          <t>Phone Number</t>
        </is>
      </c>
      <c r="S1" t="inlineStr">
        <is>
          <t>Date of Birth</t>
        </is>
      </c>
      <c r="T1" t="inlineStr">
        <is>
          <t>Auto Verification Status</t>
        </is>
      </c>
      <c r="U1" t="inlineStr">
        <is>
          <t>Hyperverge Status</t>
        </is>
      </c>
      <c r="V1" t="inlineStr">
        <is>
          <t>Auto Verification Comments</t>
        </is>
      </c>
      <c r="W1" t="inlineStr">
        <is>
          <t>Winback Count</t>
        </is>
      </c>
      <c r="X1" t="inlineStr">
        <is>
          <t>Aadhaar Number</t>
        </is>
      </c>
      <c r="Y1" t="inlineStr">
        <is>
          <t>Father Name</t>
        </is>
      </c>
      <c r="Z1" t="inlineStr">
        <is>
          <t>Permanent Address</t>
        </is>
      </c>
      <c r="AA1" t="inlineStr">
        <is>
          <t>Gender</t>
        </is>
      </c>
    </row>
    <row r="2" ht="18" customHeight="1">
      <c r="I2" s="34" t="n"/>
      <c r="S2" s="34" t="n"/>
    </row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  <row r="2994" ht="18" customHeight="1"/>
    <row r="2995" ht="18" customHeight="1"/>
    <row r="2996" ht="18" customHeight="1"/>
    <row r="2997" ht="18" customHeight="1"/>
    <row r="2998" ht="18" customHeight="1"/>
    <row r="2999" ht="18" customHeight="1"/>
    <row r="3000" ht="18" customHeight="1"/>
    <row r="3001" ht="18" customHeight="1"/>
    <row r="3002" ht="18" customHeight="1"/>
    <row r="3003" ht="18" customHeight="1"/>
    <row r="3004" ht="18" customHeight="1"/>
    <row r="3005" ht="18" customHeight="1"/>
    <row r="3006" ht="18" customHeight="1"/>
    <row r="3007" ht="18" customHeight="1"/>
    <row r="3008" ht="18" customHeight="1"/>
    <row r="3009" ht="18" customHeight="1"/>
    <row r="3010" ht="18" customHeight="1"/>
    <row r="3011" ht="18" customHeight="1"/>
    <row r="3012" ht="18" customHeight="1"/>
    <row r="3013" ht="18" customHeight="1"/>
    <row r="3014" ht="18" customHeight="1"/>
    <row r="3015" ht="18" customHeight="1"/>
    <row r="3016" ht="18" customHeight="1"/>
    <row r="3017" ht="18" customHeight="1"/>
    <row r="3018" ht="18" customHeight="1"/>
    <row r="3019" ht="18" customHeight="1"/>
    <row r="3020" ht="18" customHeight="1"/>
    <row r="3021" ht="18" customHeight="1"/>
    <row r="3022" ht="18" customHeight="1"/>
    <row r="3023" ht="18" customHeight="1"/>
    <row r="3024" ht="18" customHeight="1"/>
    <row r="3025" ht="18" customHeight="1"/>
    <row r="3026" ht="18" customHeight="1"/>
    <row r="3027" ht="18" customHeight="1"/>
    <row r="3028" ht="18" customHeight="1"/>
    <row r="3029" ht="18" customHeight="1"/>
    <row r="3030" ht="18" customHeight="1"/>
    <row r="3031" ht="18" customHeight="1"/>
    <row r="3032" ht="18" customHeight="1"/>
    <row r="3033" ht="18" customHeight="1"/>
    <row r="3034" ht="18" customHeight="1"/>
    <row r="3035" ht="18" customHeight="1"/>
    <row r="3036" ht="18" customHeight="1"/>
    <row r="3037" ht="18" customHeight="1"/>
    <row r="3038" ht="18" customHeight="1"/>
    <row r="3039" ht="18" customHeight="1"/>
    <row r="3040" ht="18" customHeight="1"/>
    <row r="3041" ht="18" customHeight="1"/>
    <row r="3042" ht="18" customHeight="1"/>
    <row r="3043" ht="18" customHeight="1"/>
    <row r="3044" ht="18" customHeight="1"/>
    <row r="3045" ht="18" customHeight="1"/>
    <row r="3046" ht="18" customHeight="1"/>
    <row r="3047" ht="18" customHeight="1"/>
    <row r="3048" ht="18" customHeight="1"/>
    <row r="3049" ht="18" customHeight="1"/>
    <row r="3050" ht="18" customHeight="1"/>
    <row r="3051" ht="18" customHeight="1"/>
    <row r="3052" ht="18" customHeight="1"/>
    <row r="3053" ht="18" customHeight="1"/>
    <row r="3054" ht="18" customHeight="1"/>
    <row r="3055" ht="18" customHeight="1"/>
    <row r="3056" ht="18" customHeight="1"/>
    <row r="3057" ht="18" customHeight="1"/>
    <row r="3058" ht="18" customHeight="1"/>
    <row r="3059" ht="18" customHeight="1"/>
    <row r="3060" ht="18" customHeight="1"/>
    <row r="3061" ht="18" customHeight="1"/>
    <row r="3062" ht="18" customHeight="1"/>
    <row r="3063" ht="18" customHeight="1"/>
    <row r="3064" ht="18" customHeight="1"/>
    <row r="3065" ht="18" customHeight="1"/>
    <row r="3066" ht="18" customHeight="1"/>
    <row r="3067" ht="18" customHeight="1"/>
    <row r="3068" ht="18" customHeight="1"/>
    <row r="3069" ht="18" customHeight="1"/>
    <row r="3070" ht="18" customHeight="1"/>
    <row r="3071" ht="18" customHeight="1"/>
    <row r="3072" ht="18" customHeight="1"/>
    <row r="3073" ht="18" customHeight="1"/>
    <row r="3074" ht="18" customHeight="1"/>
    <row r="3075" ht="18" customHeight="1"/>
    <row r="3076" ht="18" customHeight="1"/>
    <row r="3077" ht="18" customHeight="1"/>
    <row r="3078" ht="18" customHeight="1"/>
    <row r="3079" ht="18" customHeight="1"/>
    <row r="3080" ht="18" customHeight="1"/>
    <row r="3081" ht="18" customHeight="1"/>
    <row r="3082" ht="18" customHeight="1"/>
    <row r="3083" ht="18" customHeight="1"/>
    <row r="3084" ht="18" customHeight="1"/>
    <row r="3085" ht="18" customHeight="1"/>
    <row r="3086" ht="18" customHeight="1"/>
    <row r="3087" ht="18" customHeight="1"/>
    <row r="3088" ht="18" customHeight="1"/>
    <row r="3089" ht="18" customHeight="1"/>
    <row r="3090" ht="18" customHeight="1"/>
    <row r="3091" ht="18" customHeight="1"/>
    <row r="3092" ht="18" customHeight="1"/>
    <row r="3093" ht="18" customHeight="1"/>
    <row r="3094" ht="18" customHeight="1"/>
    <row r="3095" ht="18" customHeight="1"/>
    <row r="3096" ht="18" customHeight="1"/>
    <row r="3097" ht="18" customHeight="1"/>
    <row r="3098" ht="18" customHeight="1"/>
    <row r="3099" ht="18" customHeight="1"/>
    <row r="3100" ht="18" customHeight="1"/>
    <row r="3101" ht="18" customHeight="1"/>
    <row r="3102" ht="18" customHeight="1"/>
    <row r="3103" ht="18" customHeight="1"/>
    <row r="3104" ht="18" customHeight="1"/>
    <row r="3105" ht="18" customHeight="1"/>
    <row r="3106" ht="18" customHeight="1"/>
    <row r="3107" ht="18" customHeight="1"/>
    <row r="3108" ht="18" customHeight="1"/>
    <row r="3109" ht="18" customHeight="1"/>
    <row r="3110" ht="18" customHeight="1"/>
    <row r="3111" ht="18" customHeight="1"/>
    <row r="3112" ht="18" customHeight="1"/>
    <row r="3113" ht="18" customHeight="1"/>
    <row r="3114" ht="18" customHeight="1"/>
    <row r="3115" ht="18" customHeight="1"/>
    <row r="3116" ht="18" customHeight="1"/>
    <row r="3117" ht="18" customHeight="1"/>
    <row r="3118" ht="18" customHeight="1"/>
    <row r="3119" ht="18" customHeight="1"/>
    <row r="3120" ht="18" customHeight="1"/>
    <row r="3121" ht="18" customHeight="1"/>
    <row r="3122" ht="18" customHeight="1"/>
    <row r="3123" ht="18" customHeight="1"/>
    <row r="3124" ht="18" customHeight="1"/>
    <row r="3125" ht="18" customHeight="1"/>
    <row r="3126" ht="18" customHeight="1"/>
    <row r="3127" ht="18" customHeight="1"/>
    <row r="3128" ht="18" customHeight="1"/>
    <row r="3129" ht="18" customHeight="1"/>
    <row r="3130" ht="18" customHeight="1"/>
    <row r="3131" ht="18" customHeight="1"/>
    <row r="3132" ht="18" customHeight="1"/>
    <row r="3133" ht="18" customHeight="1"/>
    <row r="3134" ht="18" customHeight="1"/>
    <row r="3135" ht="18" customHeight="1"/>
    <row r="3136" ht="18" customHeight="1"/>
    <row r="3137" ht="18" customHeight="1"/>
    <row r="3138" ht="18" customHeight="1"/>
    <row r="3139" ht="18" customHeight="1"/>
    <row r="3140" ht="18" customHeight="1"/>
    <row r="3141" ht="18" customHeight="1"/>
    <row r="3142" ht="18" customHeight="1"/>
    <row r="3143" ht="18" customHeight="1"/>
    <row r="3144" ht="18" customHeight="1"/>
    <row r="3145" ht="18" customHeight="1"/>
    <row r="3146" ht="18" customHeight="1"/>
    <row r="3147" ht="18" customHeight="1"/>
    <row r="3148" ht="18" customHeight="1"/>
    <row r="3149" ht="18" customHeight="1"/>
    <row r="3150" ht="18" customHeight="1"/>
    <row r="3151" ht="18" customHeight="1"/>
    <row r="3152" ht="18" customHeight="1"/>
    <row r="3153" ht="18" customHeight="1"/>
    <row r="3154" ht="18" customHeight="1"/>
    <row r="3155" ht="18" customHeight="1"/>
    <row r="3156" ht="18" customHeight="1"/>
    <row r="3157" ht="18" customHeight="1"/>
    <row r="3158" ht="18" customHeight="1"/>
    <row r="3159" ht="18" customHeight="1"/>
    <row r="3160" ht="18" customHeight="1"/>
    <row r="3161" ht="18" customHeight="1"/>
    <row r="3162" ht="18" customHeight="1"/>
    <row r="3163" ht="18" customHeight="1"/>
    <row r="3164" ht="18" customHeight="1"/>
    <row r="3165" ht="18" customHeight="1"/>
    <row r="3166" ht="18" customHeight="1"/>
    <row r="3167" ht="18" customHeight="1"/>
    <row r="3168" ht="18" customHeight="1"/>
    <row r="3169" ht="18" customHeight="1"/>
    <row r="3170" ht="18" customHeight="1"/>
    <row r="3171" ht="18" customHeight="1"/>
    <row r="3172" ht="18" customHeight="1"/>
    <row r="3173" ht="18" customHeight="1"/>
    <row r="3174" ht="18" customHeight="1"/>
    <row r="3175" ht="18" customHeight="1"/>
    <row r="3176" ht="18" customHeight="1"/>
    <row r="3177" ht="18" customHeight="1"/>
    <row r="3178" ht="18" customHeight="1"/>
    <row r="3179" ht="18" customHeight="1"/>
    <row r="3180" ht="18" customHeight="1"/>
    <row r="3181" ht="18" customHeight="1"/>
    <row r="3182" ht="18" customHeight="1"/>
    <row r="3183" ht="18" customHeight="1"/>
    <row r="3184" ht="18" customHeight="1"/>
    <row r="3185" ht="18" customHeight="1"/>
    <row r="3186" ht="18" customHeight="1"/>
    <row r="3187" ht="18" customHeight="1"/>
    <row r="3188" ht="18" customHeight="1"/>
    <row r="3189" ht="18" customHeight="1"/>
    <row r="3190" ht="18" customHeight="1"/>
    <row r="3191" ht="18" customHeight="1"/>
    <row r="3192" ht="18" customHeight="1"/>
    <row r="3193" ht="18" customHeight="1"/>
    <row r="3194" ht="18" customHeight="1"/>
    <row r="3195" ht="18" customHeight="1"/>
    <row r="3196" ht="18" customHeight="1"/>
    <row r="3197" ht="18" customHeight="1"/>
    <row r="3198" ht="18" customHeight="1"/>
    <row r="3199" ht="18" customHeight="1"/>
    <row r="3200" ht="18" customHeight="1"/>
    <row r="3201" ht="18" customHeight="1"/>
    <row r="3202" ht="18" customHeight="1"/>
    <row r="3203" ht="18" customHeight="1"/>
    <row r="3204" ht="18" customHeight="1"/>
    <row r="3205" ht="18" customHeight="1"/>
    <row r="3206" ht="18" customHeight="1"/>
    <row r="3207" ht="18" customHeight="1"/>
    <row r="3208" ht="18" customHeight="1"/>
    <row r="3209" ht="18" customHeight="1"/>
    <row r="3210" ht="18" customHeight="1"/>
    <row r="3211" ht="18" customHeight="1"/>
    <row r="3212" ht="18" customHeight="1"/>
    <row r="3213" ht="18" customHeight="1"/>
    <row r="3214" ht="18" customHeight="1"/>
    <row r="3215" ht="18" customHeight="1"/>
    <row r="3216" ht="18" customHeight="1"/>
    <row r="3217" ht="18" customHeight="1"/>
    <row r="3218" ht="18" customHeight="1"/>
    <row r="3219" ht="18" customHeight="1"/>
    <row r="3220" ht="18" customHeight="1"/>
    <row r="3221" ht="18" customHeight="1"/>
    <row r="3222" ht="18" customHeight="1"/>
    <row r="3223" ht="18" customHeight="1"/>
    <row r="3224" ht="18" customHeight="1"/>
    <row r="3225" ht="18" customHeight="1"/>
    <row r="3226" ht="18" customHeight="1"/>
    <row r="3227" ht="18" customHeight="1"/>
    <row r="3228" ht="18" customHeight="1"/>
    <row r="3229" ht="18" customHeight="1"/>
    <row r="3230" ht="18" customHeight="1"/>
    <row r="3231" ht="18" customHeight="1"/>
    <row r="3232" ht="18" customHeight="1"/>
    <row r="3233" ht="18" customHeight="1"/>
    <row r="3234" ht="18" customHeight="1"/>
    <row r="3235" ht="18" customHeight="1"/>
    <row r="3236" ht="18" customHeight="1"/>
    <row r="3237" ht="18" customHeight="1"/>
    <row r="3238" ht="18" customHeight="1"/>
    <row r="3239" ht="18" customHeight="1"/>
    <row r="3240" ht="18" customHeight="1"/>
    <row r="3241" ht="18" customHeight="1"/>
    <row r="3242" ht="18" customHeight="1"/>
    <row r="3243" ht="18" customHeight="1"/>
    <row r="3244" ht="18" customHeight="1"/>
    <row r="3245" ht="18" customHeight="1"/>
    <row r="3246" ht="18" customHeight="1"/>
    <row r="3247" ht="18" customHeight="1"/>
    <row r="3248" ht="18" customHeight="1"/>
    <row r="3249" ht="18" customHeight="1"/>
    <row r="3250" ht="18" customHeight="1"/>
    <row r="3251" ht="18" customHeight="1"/>
    <row r="3252" ht="18" customHeight="1"/>
    <row r="3253" ht="18" customHeight="1"/>
    <row r="3254" ht="18" customHeight="1"/>
    <row r="3255" ht="18" customHeight="1"/>
    <row r="3256" ht="18" customHeight="1"/>
    <row r="3257" ht="18" customHeight="1"/>
    <row r="3258" ht="18" customHeight="1"/>
    <row r="3259" ht="18" customHeight="1"/>
    <row r="3260" ht="18" customHeight="1"/>
    <row r="3261" ht="18" customHeight="1"/>
    <row r="3262" ht="18" customHeight="1"/>
    <row r="3263" ht="18" customHeight="1"/>
    <row r="3264" ht="18" customHeight="1"/>
    <row r="3265" ht="18" customHeight="1"/>
    <row r="3266" ht="18" customHeight="1"/>
    <row r="3267" ht="18" customHeight="1"/>
    <row r="3268" ht="18" customHeight="1"/>
    <row r="3269" ht="18" customHeight="1"/>
    <row r="3270" ht="18" customHeight="1"/>
    <row r="3271" ht="18" customHeight="1"/>
    <row r="3272" ht="18" customHeight="1"/>
    <row r="3273" ht="18" customHeight="1"/>
    <row r="3274" ht="18" customHeight="1"/>
    <row r="3275" ht="18" customHeight="1"/>
    <row r="3276" ht="18" customHeight="1"/>
    <row r="3277" ht="18" customHeight="1"/>
    <row r="3278" ht="18" customHeight="1"/>
    <row r="3279" ht="18" customHeight="1"/>
    <row r="3280" ht="18" customHeight="1"/>
    <row r="3281" ht="18" customHeight="1"/>
    <row r="3282" ht="18" customHeight="1"/>
    <row r="3283" ht="18" customHeight="1"/>
    <row r="3284" ht="18" customHeight="1"/>
    <row r="3285" ht="18" customHeight="1"/>
    <row r="3286" ht="18" customHeight="1"/>
    <row r="3287" ht="18" customHeight="1"/>
    <row r="3288" ht="18" customHeight="1"/>
    <row r="3289" ht="18" customHeight="1"/>
    <row r="3290" ht="18" customHeight="1"/>
    <row r="3291" ht="18" customHeight="1"/>
    <row r="3292" ht="18" customHeight="1"/>
    <row r="3293" ht="18" customHeight="1"/>
    <row r="3294" ht="18" customHeight="1"/>
    <row r="3295" ht="18" customHeight="1"/>
    <row r="3296" ht="18" customHeight="1"/>
    <row r="3297" ht="18" customHeight="1"/>
    <row r="3298" ht="18" customHeight="1"/>
    <row r="3299" ht="18" customHeight="1"/>
    <row r="3300" ht="18" customHeight="1"/>
    <row r="3301" ht="18" customHeight="1"/>
    <row r="3302" ht="18" customHeight="1"/>
    <row r="3303" ht="18" customHeight="1"/>
    <row r="3304" ht="18" customHeight="1"/>
    <row r="3305" ht="18" customHeight="1"/>
    <row r="3306" ht="18" customHeight="1"/>
    <row r="3307" ht="18" customHeight="1"/>
    <row r="3308" ht="18" customHeight="1"/>
    <row r="3309" ht="18" customHeight="1"/>
    <row r="3310" ht="18" customHeight="1"/>
    <row r="3311" ht="18" customHeight="1"/>
    <row r="3312" ht="18" customHeight="1"/>
    <row r="3313" ht="18" customHeight="1"/>
    <row r="3314" ht="18" customHeight="1"/>
    <row r="3315" ht="18" customHeight="1"/>
    <row r="3316" ht="18" customHeight="1"/>
    <row r="3317" ht="18" customHeight="1"/>
    <row r="3318" ht="18" customHeight="1"/>
    <row r="3319" ht="18" customHeight="1"/>
    <row r="3320" ht="18" customHeight="1"/>
    <row r="3321" ht="18" customHeight="1"/>
    <row r="3322" ht="18" customHeight="1"/>
    <row r="3323" ht="18" customHeight="1"/>
    <row r="3324" ht="18" customHeight="1"/>
    <row r="3325" ht="18" customHeight="1"/>
    <row r="3326" ht="18" customHeight="1"/>
    <row r="3327" ht="18" customHeight="1"/>
    <row r="3328" ht="18" customHeight="1"/>
    <row r="3329" ht="18" customHeight="1"/>
    <row r="3330" ht="18" customHeight="1"/>
    <row r="3331" ht="18" customHeight="1"/>
    <row r="3332" ht="18" customHeight="1"/>
    <row r="3333" ht="18" customHeight="1"/>
    <row r="3334" ht="18" customHeight="1"/>
    <row r="3335" ht="18" customHeight="1"/>
    <row r="3336" ht="18" customHeight="1"/>
    <row r="3337" ht="18" customHeight="1"/>
    <row r="3338" ht="18" customHeight="1"/>
    <row r="3339" ht="18" customHeight="1"/>
    <row r="3340" ht="18" customHeight="1"/>
    <row r="3341" ht="18" customHeight="1"/>
    <row r="3342" ht="18" customHeight="1"/>
    <row r="3343" ht="18" customHeight="1"/>
    <row r="3344" ht="18" customHeight="1"/>
    <row r="3345" ht="18" customHeight="1"/>
    <row r="3346" ht="18" customHeight="1"/>
    <row r="3347" ht="18" customHeight="1"/>
    <row r="3348" ht="18" customHeight="1"/>
    <row r="3349" ht="18" customHeight="1"/>
    <row r="3350" ht="18" customHeight="1"/>
    <row r="3351" ht="18" customHeight="1"/>
    <row r="3352" ht="18" customHeight="1"/>
    <row r="3353" ht="18" customHeight="1"/>
    <row r="3354" ht="18" customHeight="1"/>
    <row r="3355" ht="18" customHeight="1"/>
    <row r="3356" ht="18" customHeight="1"/>
    <row r="3357" ht="18" customHeight="1"/>
    <row r="3358" ht="18" customHeight="1"/>
    <row r="3359" ht="18" customHeight="1"/>
    <row r="3360" ht="18" customHeight="1"/>
    <row r="3361" ht="18" customHeight="1"/>
    <row r="3362" ht="18" customHeight="1"/>
    <row r="3363" ht="18" customHeight="1"/>
    <row r="3364" ht="18" customHeight="1"/>
    <row r="3365" ht="18" customHeight="1"/>
    <row r="3366" ht="18" customHeight="1"/>
    <row r="3367" ht="18" customHeight="1"/>
    <row r="3368" ht="18" customHeight="1"/>
    <row r="3369" ht="18" customHeight="1"/>
    <row r="3370" ht="18" customHeight="1"/>
    <row r="3371" ht="18" customHeight="1"/>
    <row r="3372" ht="18" customHeight="1"/>
    <row r="3373" ht="18" customHeight="1"/>
    <row r="3374" ht="18" customHeight="1"/>
    <row r="3375" ht="18" customHeight="1"/>
    <row r="3376" ht="18" customHeight="1"/>
    <row r="3377" ht="18" customHeight="1"/>
    <row r="3378" ht="18" customHeight="1"/>
    <row r="3379" ht="18" customHeight="1"/>
    <row r="3380" ht="18" customHeight="1"/>
    <row r="3381" ht="18" customHeight="1"/>
    <row r="3382" ht="18" customHeight="1"/>
    <row r="3383" ht="18" customHeight="1"/>
    <row r="3384" ht="18" customHeight="1"/>
    <row r="3385" ht="18" customHeight="1"/>
    <row r="3386" ht="18" customHeight="1"/>
    <row r="3387" ht="18" customHeight="1"/>
    <row r="3388" ht="18" customHeight="1"/>
    <row r="3389" ht="18" customHeight="1"/>
    <row r="3390" ht="18" customHeight="1"/>
    <row r="3391" ht="18" customHeight="1"/>
    <row r="3392" ht="18" customHeight="1"/>
    <row r="3393" ht="18" customHeight="1"/>
    <row r="3394" ht="18" customHeight="1"/>
    <row r="3395" ht="18" customHeight="1"/>
    <row r="3396" ht="18" customHeight="1"/>
    <row r="3397" ht="18" customHeight="1"/>
    <row r="3398" ht="18" customHeight="1"/>
    <row r="3399" ht="18" customHeight="1"/>
    <row r="3400" ht="18" customHeight="1"/>
    <row r="3401" ht="18" customHeight="1"/>
    <row r="3402" ht="18" customHeight="1"/>
    <row r="3403" ht="18" customHeight="1"/>
    <row r="3404" ht="18" customHeight="1"/>
    <row r="3405" ht="18" customHeight="1"/>
    <row r="3406" ht="18" customHeight="1"/>
    <row r="3407" ht="18" customHeight="1"/>
    <row r="3408" ht="18" customHeight="1"/>
    <row r="3409" ht="18" customHeight="1"/>
    <row r="3410" ht="18" customHeight="1"/>
    <row r="3411" ht="18" customHeight="1"/>
    <row r="3412" ht="18" customHeight="1"/>
    <row r="3413" ht="18" customHeight="1"/>
    <row r="3414" ht="18" customHeight="1"/>
    <row r="3415" ht="18" customHeight="1"/>
    <row r="3416" ht="18" customHeight="1"/>
    <row r="3417" ht="18" customHeight="1"/>
    <row r="3418" ht="18" customHeight="1"/>
    <row r="3419" ht="18" customHeight="1"/>
    <row r="3420" ht="18" customHeight="1"/>
    <row r="3421" ht="18" customHeight="1"/>
    <row r="3422" ht="18" customHeight="1"/>
    <row r="3423" ht="18" customHeight="1"/>
    <row r="3424" ht="18" customHeight="1"/>
    <row r="3425" ht="18" customHeight="1"/>
    <row r="3426" ht="18" customHeight="1"/>
    <row r="3427" ht="18" customHeight="1"/>
    <row r="3428" ht="18" customHeight="1"/>
    <row r="3429" ht="18" customHeight="1"/>
    <row r="3430" ht="18" customHeight="1"/>
    <row r="3431" ht="18" customHeight="1"/>
    <row r="3432" ht="18" customHeight="1"/>
    <row r="3433" ht="18" customHeight="1"/>
    <row r="3434" ht="18" customHeight="1"/>
    <row r="3435" ht="18" customHeight="1"/>
    <row r="3436" ht="18" customHeight="1"/>
    <row r="3437" ht="18" customHeight="1"/>
    <row r="3438" ht="18" customHeight="1"/>
    <row r="3439" ht="18" customHeight="1"/>
    <row r="3440" ht="18" customHeight="1"/>
    <row r="3441" ht="18" customHeight="1"/>
    <row r="3442" ht="18" customHeight="1"/>
    <row r="3443" ht="18" customHeight="1"/>
    <row r="3444" ht="18" customHeight="1"/>
    <row r="3445" ht="18" customHeight="1"/>
    <row r="3446" ht="18" customHeight="1"/>
    <row r="3447" ht="18" customHeight="1"/>
    <row r="3448" ht="18" customHeight="1"/>
    <row r="3449" ht="18" customHeight="1"/>
    <row r="3450" ht="18" customHeight="1"/>
    <row r="3451" ht="18" customHeight="1"/>
    <row r="3452" ht="18" customHeight="1"/>
    <row r="3453" ht="18" customHeight="1"/>
    <row r="3454" ht="18" customHeight="1"/>
    <row r="3455" ht="18" customHeight="1"/>
    <row r="3456" ht="18" customHeight="1"/>
    <row r="3457" ht="18" customHeight="1"/>
    <row r="3458" ht="18" customHeight="1"/>
    <row r="3459" ht="18" customHeight="1"/>
    <row r="3460" ht="18" customHeight="1"/>
    <row r="3461" ht="18" customHeight="1"/>
    <row r="3462" ht="18" customHeight="1"/>
    <row r="3463" ht="18" customHeight="1"/>
    <row r="3464" ht="18" customHeight="1"/>
    <row r="3465" ht="18" customHeight="1"/>
    <row r="3466" ht="18" customHeight="1"/>
    <row r="3467" ht="18" customHeight="1"/>
    <row r="3468" ht="18" customHeight="1"/>
    <row r="3469" ht="18" customHeight="1"/>
    <row r="3470" ht="18" customHeight="1"/>
    <row r="3471" ht="18" customHeight="1"/>
    <row r="3472" ht="18" customHeight="1"/>
    <row r="3473" ht="18" customHeight="1"/>
    <row r="3474" ht="18" customHeight="1"/>
    <row r="3475" ht="18" customHeight="1"/>
    <row r="3476" ht="18" customHeight="1"/>
    <row r="3477" ht="18" customHeight="1"/>
    <row r="3478" ht="18" customHeight="1"/>
    <row r="3479" ht="18" customHeight="1"/>
    <row r="3480" ht="18" customHeight="1"/>
    <row r="3481" ht="18" customHeight="1"/>
    <row r="3482" ht="18" customHeight="1"/>
    <row r="3483" ht="18" customHeight="1"/>
    <row r="3484" ht="18" customHeight="1"/>
    <row r="3485" ht="18" customHeight="1"/>
    <row r="3486" ht="18" customHeight="1"/>
    <row r="3487" ht="18" customHeight="1"/>
    <row r="3488" ht="18" customHeight="1"/>
    <row r="3489" ht="18" customHeight="1"/>
    <row r="3490" ht="18" customHeight="1"/>
    <row r="3491" ht="18" customHeight="1"/>
    <row r="3492" ht="18" customHeight="1"/>
    <row r="3493" ht="18" customHeight="1"/>
    <row r="3494" ht="18" customHeight="1"/>
    <row r="3495" ht="18" customHeight="1"/>
    <row r="3496" ht="18" customHeight="1"/>
    <row r="3497" ht="18" customHeight="1"/>
    <row r="3498" ht="18" customHeight="1"/>
    <row r="3499" ht="18" customHeight="1"/>
    <row r="3500" ht="18" customHeight="1"/>
    <row r="3501" ht="18" customHeight="1"/>
    <row r="3502" ht="18" customHeight="1"/>
    <row r="3503" ht="18" customHeight="1"/>
    <row r="3504" ht="18" customHeight="1"/>
    <row r="3505" ht="18" customHeight="1"/>
    <row r="3506" ht="18" customHeight="1"/>
    <row r="3507" ht="18" customHeight="1"/>
    <row r="3508" ht="18" customHeight="1"/>
    <row r="3509" ht="18" customHeight="1"/>
    <row r="3510" ht="18" customHeight="1"/>
    <row r="3511" ht="18" customHeight="1"/>
    <row r="3512" ht="18" customHeight="1"/>
    <row r="3513" ht="18" customHeight="1"/>
    <row r="3514" ht="18" customHeight="1"/>
    <row r="3515" ht="18" customHeight="1"/>
    <row r="3516" ht="18" customHeight="1"/>
    <row r="3517" ht="18" customHeight="1"/>
    <row r="3518" ht="18" customHeight="1"/>
    <row r="3519" ht="18" customHeight="1"/>
    <row r="3520" ht="18" customHeight="1"/>
    <row r="3521" ht="18" customHeight="1"/>
    <row r="3522" ht="18" customHeight="1"/>
    <row r="3523" ht="18" customHeight="1"/>
    <row r="3524" ht="18" customHeight="1"/>
    <row r="3525" ht="18" customHeight="1"/>
    <row r="3526" ht="18" customHeight="1"/>
    <row r="3527" ht="18" customHeight="1"/>
    <row r="3528" ht="18" customHeight="1"/>
    <row r="3529" ht="18" customHeight="1"/>
    <row r="3530" ht="18" customHeight="1"/>
    <row r="3531" ht="18" customHeight="1"/>
    <row r="3532" ht="18" customHeight="1"/>
    <row r="3533" ht="18" customHeight="1"/>
    <row r="3534" ht="18" customHeight="1"/>
    <row r="3535" ht="18" customHeight="1"/>
    <row r="3536" ht="18" customHeight="1"/>
    <row r="3537" ht="18" customHeight="1"/>
    <row r="3538" ht="18" customHeight="1"/>
    <row r="3539" ht="18" customHeight="1"/>
    <row r="3540" ht="18" customHeight="1"/>
    <row r="3541" ht="18" customHeight="1"/>
    <row r="3542" ht="18" customHeight="1"/>
    <row r="3543" ht="18" customHeight="1"/>
    <row r="3544" ht="18" customHeight="1"/>
    <row r="3545" ht="18" customHeight="1"/>
    <row r="3546" ht="18" customHeight="1"/>
    <row r="3547" ht="18" customHeight="1"/>
    <row r="3548" ht="18" customHeight="1"/>
    <row r="3549" ht="18" customHeight="1"/>
    <row r="3550" ht="18" customHeight="1"/>
    <row r="3551" ht="18" customHeight="1"/>
    <row r="3552" ht="18" customHeight="1"/>
    <row r="3553" ht="18" customHeight="1"/>
    <row r="3554" ht="18" customHeight="1"/>
    <row r="3555" ht="18" customHeight="1"/>
    <row r="3556" ht="18" customHeight="1"/>
    <row r="3557" ht="18" customHeight="1"/>
    <row r="3558" ht="18" customHeight="1"/>
    <row r="3559" ht="18" customHeight="1"/>
    <row r="3560" ht="18" customHeight="1"/>
    <row r="3561" ht="18" customHeight="1"/>
    <row r="3562" ht="18" customHeight="1"/>
    <row r="3563" ht="18" customHeight="1"/>
    <row r="3564" ht="18" customHeight="1"/>
    <row r="3565" ht="18" customHeight="1"/>
    <row r="3566" ht="18" customHeight="1"/>
    <row r="3567" ht="18" customHeight="1"/>
    <row r="3568" ht="18" customHeight="1"/>
    <row r="3569" ht="18" customHeight="1"/>
    <row r="3570" ht="18" customHeight="1"/>
    <row r="3571" ht="18" customHeight="1"/>
    <row r="3572" ht="18" customHeight="1"/>
    <row r="3573" ht="18" customHeight="1"/>
    <row r="3574" ht="18" customHeight="1"/>
    <row r="3575" ht="18" customHeight="1"/>
    <row r="3576" ht="18" customHeight="1"/>
    <row r="3577" ht="18" customHeight="1"/>
    <row r="3578" ht="18" customHeight="1"/>
    <row r="3579" ht="18" customHeight="1"/>
    <row r="3580" ht="18" customHeight="1"/>
    <row r="3581" ht="18" customHeight="1"/>
    <row r="3582" ht="18" customHeight="1"/>
    <row r="3583" ht="18" customHeight="1"/>
    <row r="3584" ht="18" customHeight="1"/>
    <row r="3585" ht="18" customHeight="1"/>
    <row r="3586" ht="18" customHeight="1"/>
    <row r="3587" ht="18" customHeight="1"/>
    <row r="3588" ht="18" customHeight="1"/>
    <row r="3589" ht="18" customHeight="1"/>
    <row r="3590" ht="18" customHeight="1"/>
    <row r="3591" ht="18" customHeight="1"/>
    <row r="3592" ht="18" customHeight="1"/>
    <row r="3593" ht="18" customHeight="1"/>
    <row r="3594" ht="18" customHeight="1"/>
    <row r="3595" ht="18" customHeight="1"/>
    <row r="3596" ht="18" customHeight="1"/>
    <row r="3597" ht="18" customHeight="1"/>
    <row r="3598" ht="18" customHeight="1"/>
    <row r="3599" ht="18" customHeight="1"/>
    <row r="3600" ht="18" customHeight="1"/>
    <row r="3601" ht="18" customHeight="1"/>
    <row r="3602" ht="18" customHeight="1"/>
    <row r="3603" ht="18" customHeight="1"/>
    <row r="3604" ht="18" customHeight="1"/>
    <row r="3605" ht="18" customHeight="1"/>
    <row r="3606" ht="18" customHeight="1"/>
    <row r="3607" ht="18" customHeight="1"/>
    <row r="3608" ht="18" customHeight="1"/>
    <row r="3609" ht="18" customHeight="1"/>
    <row r="3610" ht="18" customHeight="1"/>
    <row r="3611" ht="18" customHeight="1"/>
    <row r="3612" ht="18" customHeight="1"/>
    <row r="3613" ht="18" customHeight="1"/>
    <row r="3614" ht="18" customHeight="1"/>
    <row r="3615" ht="18" customHeight="1"/>
    <row r="3616" ht="18" customHeight="1"/>
    <row r="3617" ht="18" customHeight="1"/>
    <row r="3618" ht="18" customHeight="1"/>
    <row r="3619" ht="18" customHeight="1"/>
    <row r="3620" ht="18" customHeight="1"/>
    <row r="3621" ht="18" customHeight="1"/>
    <row r="3622" ht="18" customHeight="1"/>
    <row r="3623" ht="18" customHeight="1"/>
    <row r="3624" ht="18" customHeight="1"/>
    <row r="3625" ht="18" customHeight="1"/>
    <row r="3626" ht="18" customHeight="1"/>
    <row r="3627" ht="18" customHeight="1"/>
    <row r="3628" ht="18" customHeight="1"/>
    <row r="3629" ht="18" customHeight="1"/>
    <row r="3630" ht="18" customHeight="1"/>
    <row r="3631" ht="18" customHeight="1"/>
    <row r="3632" ht="18" customHeight="1"/>
    <row r="3633" ht="18" customHeight="1"/>
    <row r="3634" ht="18" customHeight="1"/>
    <row r="3635" ht="18" customHeight="1"/>
    <row r="3636" ht="18" customHeight="1"/>
    <row r="3637" ht="18" customHeight="1"/>
    <row r="3638" ht="18" customHeight="1"/>
    <row r="3639" ht="18" customHeight="1"/>
    <row r="3640" ht="18" customHeight="1"/>
    <row r="3641" ht="18" customHeight="1"/>
    <row r="3642" ht="18" customHeight="1"/>
    <row r="3643" ht="18" customHeight="1"/>
    <row r="3644" ht="18" customHeight="1"/>
    <row r="3645" ht="18" customHeight="1"/>
    <row r="3646" ht="18" customHeight="1"/>
    <row r="3647" ht="18" customHeight="1"/>
    <row r="3648" ht="18" customHeight="1"/>
    <row r="3649" ht="18" customHeight="1"/>
    <row r="3650" ht="18" customHeight="1"/>
    <row r="3651" ht="18" customHeight="1"/>
    <row r="3652" ht="18" customHeight="1"/>
    <row r="3653" ht="18" customHeight="1"/>
    <row r="3654" ht="18" customHeight="1"/>
    <row r="3655" ht="18" customHeight="1"/>
    <row r="3656" ht="18" customHeight="1"/>
    <row r="3657" ht="18" customHeight="1"/>
    <row r="3658" ht="18" customHeight="1"/>
    <row r="3659" ht="18" customHeight="1"/>
    <row r="3660" ht="18" customHeight="1"/>
    <row r="3661" ht="18" customHeight="1"/>
    <row r="3662" ht="18" customHeight="1"/>
    <row r="3663" ht="18" customHeight="1"/>
    <row r="3664" ht="18" customHeight="1"/>
    <row r="3665" ht="18" customHeight="1"/>
    <row r="3666" ht="18" customHeight="1"/>
    <row r="3667" ht="18" customHeight="1"/>
    <row r="3668" ht="18" customHeight="1"/>
    <row r="3669" ht="18" customHeight="1"/>
    <row r="3670" ht="18" customHeight="1"/>
    <row r="3671" ht="18" customHeight="1"/>
    <row r="3672" ht="18" customHeight="1"/>
    <row r="3673" ht="18" customHeight="1"/>
    <row r="3674" ht="18" customHeight="1"/>
    <row r="3675" ht="18" customHeight="1"/>
    <row r="3676" ht="18" customHeight="1"/>
    <row r="3677" ht="18" customHeight="1"/>
    <row r="3678" ht="18" customHeight="1"/>
    <row r="3679" ht="18" customHeight="1"/>
    <row r="3680" ht="18" customHeight="1"/>
    <row r="3681" ht="18" customHeight="1"/>
    <row r="3682" ht="18" customHeight="1"/>
    <row r="3683" ht="18" customHeight="1"/>
    <row r="3684" ht="18" customHeight="1"/>
    <row r="3685" ht="18" customHeight="1"/>
    <row r="3686" ht="18" customHeight="1"/>
    <row r="3687" ht="18" customHeight="1"/>
    <row r="3688" ht="18" customHeight="1"/>
    <row r="3689" ht="18" customHeight="1"/>
    <row r="3690" ht="18" customHeight="1"/>
    <row r="3691" ht="18" customHeight="1"/>
    <row r="3692" ht="18" customHeight="1"/>
    <row r="3693" ht="18" customHeight="1"/>
    <row r="3694" ht="18" customHeight="1"/>
    <row r="3695" ht="18" customHeight="1"/>
    <row r="3696" ht="18" customHeight="1"/>
    <row r="3697" ht="18" customHeight="1"/>
    <row r="3698" ht="18" customHeight="1"/>
    <row r="3699" ht="18" customHeight="1"/>
    <row r="3700" ht="18" customHeight="1"/>
    <row r="3701" ht="18" customHeight="1"/>
    <row r="3702" ht="18" customHeight="1"/>
    <row r="3703" ht="18" customHeight="1"/>
    <row r="3704" ht="18" customHeight="1"/>
    <row r="3705" ht="18" customHeight="1"/>
    <row r="3706" ht="18" customHeight="1"/>
    <row r="3707" ht="18" customHeight="1"/>
    <row r="3708" ht="18" customHeight="1"/>
    <row r="3709" ht="18" customHeight="1"/>
    <row r="3710" ht="18" customHeight="1"/>
    <row r="3711" ht="18" customHeight="1"/>
    <row r="3712" ht="18" customHeight="1"/>
    <row r="3713" ht="18" customHeight="1"/>
    <row r="3714" ht="18" customHeight="1"/>
    <row r="3715" ht="18" customHeight="1"/>
    <row r="3716" ht="18" customHeight="1"/>
    <row r="3717" ht="18" customHeight="1"/>
    <row r="3718" ht="18" customHeight="1"/>
    <row r="3719" ht="18" customHeight="1"/>
    <row r="3720" ht="18" customHeight="1"/>
    <row r="3721" ht="18" customHeight="1"/>
    <row r="3722" ht="18" customHeight="1"/>
    <row r="3723" ht="18" customHeight="1"/>
    <row r="3724" ht="18" customHeight="1"/>
    <row r="3725" ht="18" customHeight="1"/>
    <row r="3726" ht="18" customHeight="1"/>
    <row r="3727" ht="18" customHeight="1"/>
    <row r="3728" ht="18" customHeight="1"/>
    <row r="3729" ht="18" customHeight="1"/>
    <row r="3730" ht="18" customHeight="1"/>
    <row r="3731" ht="18" customHeight="1"/>
    <row r="3732" ht="18" customHeight="1"/>
    <row r="3733" ht="18" customHeight="1"/>
    <row r="3734" ht="18" customHeight="1"/>
    <row r="3735" ht="18" customHeight="1"/>
    <row r="3736" ht="18" customHeight="1"/>
    <row r="3737" ht="18" customHeight="1"/>
    <row r="3738" ht="18" customHeight="1"/>
    <row r="3739" ht="18" customHeight="1"/>
    <row r="3740" ht="18" customHeight="1"/>
    <row r="3741" ht="18" customHeight="1"/>
    <row r="3742" ht="18" customHeight="1"/>
    <row r="3743" ht="18" customHeight="1"/>
    <row r="3744" ht="18" customHeight="1"/>
    <row r="3745" ht="18" customHeight="1"/>
    <row r="3746" ht="18" customHeight="1"/>
    <row r="3747" ht="18" customHeight="1"/>
    <row r="3748" ht="18" customHeight="1"/>
    <row r="3749" ht="18" customHeight="1"/>
    <row r="3750" ht="18" customHeight="1"/>
    <row r="3751" ht="18" customHeight="1"/>
    <row r="3752" ht="18" customHeight="1"/>
    <row r="3753" ht="18" customHeight="1"/>
    <row r="3754" ht="18" customHeight="1"/>
    <row r="3755" ht="18" customHeight="1"/>
    <row r="3756" ht="18" customHeight="1"/>
    <row r="3757" ht="18" customHeight="1"/>
    <row r="3758" ht="18" customHeight="1"/>
    <row r="3759" ht="18" customHeight="1"/>
    <row r="3760" ht="18" customHeight="1"/>
    <row r="3761" ht="18" customHeight="1"/>
    <row r="3762" ht="18" customHeight="1"/>
    <row r="3763" ht="18" customHeight="1"/>
    <row r="3764" ht="18" customHeight="1"/>
    <row r="3765" ht="18" customHeight="1"/>
    <row r="3766" ht="18" customHeight="1"/>
    <row r="3767" ht="18" customHeight="1"/>
    <row r="3768" ht="18" customHeight="1"/>
    <row r="3769" ht="18" customHeight="1"/>
    <row r="3770" ht="18" customHeight="1"/>
    <row r="3771" ht="18" customHeight="1"/>
    <row r="3772" ht="18" customHeight="1"/>
    <row r="3773" ht="18" customHeight="1"/>
    <row r="3774" ht="18" customHeight="1"/>
    <row r="3775" ht="18" customHeight="1"/>
    <row r="3776" ht="18" customHeight="1"/>
    <row r="3777" ht="18" customHeight="1"/>
    <row r="3778" ht="18" customHeight="1"/>
    <row r="3779" ht="18" customHeight="1"/>
    <row r="3780" ht="18" customHeight="1"/>
    <row r="3781" ht="18" customHeight="1"/>
    <row r="3782" ht="18" customHeight="1"/>
    <row r="3783" ht="18" customHeight="1"/>
    <row r="3784" ht="18" customHeight="1"/>
    <row r="3785" ht="18" customHeight="1"/>
    <row r="3786" ht="18" customHeight="1"/>
    <row r="3787" ht="18" customHeight="1"/>
    <row r="3788" ht="18" customHeight="1"/>
    <row r="3789" ht="18" customHeight="1"/>
    <row r="3790" ht="18" customHeight="1"/>
    <row r="3791" ht="18" customHeight="1"/>
    <row r="3792" ht="18" customHeight="1"/>
    <row r="3793" ht="18" customHeight="1"/>
    <row r="3794" ht="18" customHeight="1"/>
    <row r="3795" ht="18" customHeight="1"/>
    <row r="3796" ht="18" customHeight="1"/>
    <row r="3797" ht="18" customHeight="1"/>
    <row r="3798" ht="18" customHeight="1"/>
    <row r="3799" ht="18" customHeight="1"/>
    <row r="3800" ht="18" customHeight="1"/>
    <row r="3801" ht="18" customHeight="1"/>
    <row r="3802" ht="18" customHeight="1"/>
    <row r="3803" ht="18" customHeight="1"/>
    <row r="3804" ht="18" customHeight="1"/>
    <row r="3805" ht="18" customHeight="1"/>
    <row r="3806" ht="18" customHeight="1"/>
    <row r="3807" ht="18" customHeight="1"/>
    <row r="3808" ht="18" customHeight="1"/>
    <row r="3809" ht="18" customHeight="1"/>
    <row r="3810" ht="18" customHeight="1"/>
    <row r="3811" ht="18" customHeight="1"/>
    <row r="3812" ht="18" customHeight="1"/>
    <row r="3813" ht="18" customHeight="1"/>
    <row r="3814" ht="18" customHeight="1"/>
    <row r="3815" ht="18" customHeight="1"/>
    <row r="3816" ht="18" customHeight="1"/>
    <row r="3817" ht="18" customHeight="1"/>
    <row r="3818" ht="18" customHeight="1"/>
    <row r="3819" ht="18" customHeight="1"/>
    <row r="3820" ht="18" customHeight="1"/>
    <row r="3821" ht="18" customHeight="1"/>
    <row r="3822" ht="18" customHeight="1"/>
    <row r="3823" ht="18" customHeight="1"/>
    <row r="3824" ht="18" customHeight="1"/>
    <row r="3825" ht="18" customHeight="1"/>
    <row r="3826" ht="18" customHeight="1"/>
    <row r="3827" ht="18" customHeight="1"/>
    <row r="3828" ht="18" customHeight="1"/>
    <row r="3829" ht="18" customHeight="1"/>
    <row r="3830" ht="18" customHeight="1"/>
    <row r="3831" ht="18" customHeight="1"/>
    <row r="3832" ht="18" customHeight="1"/>
    <row r="3833" ht="18" customHeight="1"/>
    <row r="3834" ht="18" customHeight="1"/>
    <row r="3835" ht="18" customHeight="1"/>
    <row r="3836" ht="18" customHeight="1"/>
    <row r="3837" ht="18" customHeight="1"/>
    <row r="3838" ht="18" customHeight="1"/>
    <row r="3839" ht="18" customHeight="1"/>
    <row r="3840" ht="18" customHeight="1"/>
    <row r="3841" ht="18" customHeight="1"/>
    <row r="3842" ht="18" customHeight="1"/>
    <row r="3843" ht="18" customHeight="1"/>
    <row r="3844" ht="18" customHeight="1"/>
    <row r="3845" ht="18" customHeight="1"/>
    <row r="3846" ht="18" customHeight="1"/>
    <row r="3847" ht="18" customHeight="1"/>
    <row r="3848" ht="18" customHeight="1"/>
    <row r="3849" ht="18" customHeight="1"/>
    <row r="3850" ht="18" customHeight="1"/>
    <row r="3851" ht="18" customHeight="1"/>
    <row r="3852" ht="18" customHeight="1"/>
    <row r="3853" ht="18" customHeight="1"/>
    <row r="3854" ht="18" customHeight="1"/>
    <row r="3855" ht="18" customHeight="1"/>
    <row r="3856" ht="18" customHeight="1"/>
    <row r="3857" ht="18" customHeight="1"/>
    <row r="3858" ht="18" customHeight="1"/>
    <row r="3859" ht="18" customHeight="1"/>
    <row r="3860" ht="18" customHeight="1"/>
    <row r="3861" ht="18" customHeight="1"/>
    <row r="3862" ht="18" customHeight="1"/>
    <row r="3863" ht="18" customHeight="1"/>
    <row r="3864" ht="18" customHeight="1"/>
    <row r="3865" ht="18" customHeight="1"/>
    <row r="3866" ht="18" customHeight="1"/>
    <row r="3867" ht="18" customHeight="1"/>
    <row r="3868" ht="18" customHeight="1"/>
    <row r="3869" ht="18" customHeight="1"/>
    <row r="3870" ht="18" customHeight="1"/>
    <row r="3871" ht="18" customHeight="1"/>
    <row r="3872" ht="18" customHeight="1"/>
    <row r="3873" ht="18" customHeight="1"/>
    <row r="3874" ht="18" customHeight="1"/>
    <row r="3875" ht="18" customHeight="1"/>
    <row r="3876" ht="18" customHeight="1"/>
    <row r="3877" ht="18" customHeight="1"/>
    <row r="3878" ht="18" customHeight="1"/>
    <row r="3879" ht="18" customHeight="1"/>
    <row r="3880" ht="18" customHeight="1"/>
    <row r="3881" ht="18" customHeight="1"/>
    <row r="3882" ht="18" customHeight="1"/>
    <row r="3883" ht="18" customHeight="1"/>
    <row r="3884" ht="18" customHeight="1"/>
    <row r="3885" ht="18" customHeight="1"/>
    <row r="3886" ht="18" customHeight="1"/>
    <row r="3887" ht="18" customHeight="1"/>
    <row r="3888" ht="18" customHeight="1"/>
    <row r="3889" ht="18" customHeight="1"/>
    <row r="3890" ht="18" customHeight="1"/>
    <row r="3891" ht="18" customHeight="1"/>
    <row r="3892" ht="18" customHeight="1"/>
    <row r="3893" ht="18" customHeight="1"/>
    <row r="3894" ht="18" customHeight="1"/>
    <row r="3895" ht="18" customHeight="1"/>
    <row r="3896" ht="18" customHeight="1"/>
    <row r="3897" ht="18" customHeight="1"/>
    <row r="3898" ht="18" customHeight="1"/>
    <row r="3899" ht="18" customHeight="1"/>
    <row r="3900" ht="18" customHeight="1"/>
    <row r="3901" ht="18" customHeight="1"/>
    <row r="3902" ht="18" customHeight="1"/>
    <row r="3903" ht="18" customHeight="1"/>
    <row r="3904" ht="18" customHeight="1"/>
    <row r="3905" ht="18" customHeight="1"/>
    <row r="3906" ht="18" customHeight="1"/>
    <row r="3907" ht="18" customHeight="1"/>
    <row r="3908" ht="18" customHeight="1"/>
    <row r="3909" ht="18" customHeight="1"/>
    <row r="3910" ht="18" customHeight="1"/>
    <row r="3911" ht="18" customHeight="1"/>
    <row r="3912" ht="18" customHeight="1"/>
    <row r="3913" ht="18" customHeight="1"/>
    <row r="3914" ht="18" customHeight="1"/>
    <row r="3915" ht="18" customHeight="1"/>
    <row r="3916" ht="18" customHeight="1"/>
    <row r="3917" ht="18" customHeight="1"/>
    <row r="3918" ht="18" customHeight="1"/>
    <row r="3919" ht="18" customHeight="1"/>
    <row r="3920" ht="18" customHeight="1"/>
    <row r="3921" ht="18" customHeight="1"/>
    <row r="3922" ht="18" customHeight="1"/>
    <row r="3923" ht="18" customHeight="1"/>
    <row r="3924" ht="18" customHeight="1"/>
    <row r="3925" ht="18" customHeight="1"/>
    <row r="3926" ht="18" customHeight="1"/>
    <row r="3927" ht="18" customHeight="1"/>
    <row r="3928" ht="18" customHeight="1"/>
    <row r="3929" ht="18" customHeight="1"/>
    <row r="3930" ht="18" customHeight="1"/>
    <row r="3931" ht="18" customHeight="1"/>
    <row r="3932" ht="18" customHeight="1"/>
    <row r="3933" ht="18" customHeight="1"/>
    <row r="3934" ht="18" customHeight="1"/>
    <row r="3935" ht="18" customHeight="1"/>
    <row r="3936" ht="18" customHeight="1"/>
    <row r="3937" ht="18" customHeight="1"/>
    <row r="3938" ht="18" customHeight="1"/>
    <row r="3939" ht="18" customHeight="1"/>
    <row r="3940" ht="18" customHeight="1"/>
    <row r="3941" ht="18" customHeight="1"/>
    <row r="3942" ht="18" customHeight="1"/>
    <row r="3943" ht="18" customHeight="1"/>
    <row r="3944" ht="18" customHeight="1"/>
    <row r="3945" ht="18" customHeight="1"/>
    <row r="3946" ht="18" customHeight="1"/>
    <row r="3947" ht="18" customHeight="1"/>
    <row r="3948" ht="18" customHeight="1"/>
    <row r="3949" ht="18" customHeight="1"/>
    <row r="3950" ht="18" customHeight="1"/>
    <row r="3951" ht="18" customHeight="1"/>
    <row r="3952" ht="18" customHeight="1"/>
    <row r="3953" ht="18" customHeight="1"/>
    <row r="3954" ht="18" customHeight="1"/>
    <row r="3955" ht="18" customHeight="1"/>
    <row r="3956" ht="18" customHeight="1"/>
    <row r="3957" ht="18" customHeight="1"/>
    <row r="3958" ht="18" customHeight="1"/>
    <row r="3959" ht="18" customHeight="1"/>
    <row r="3960" ht="18" customHeight="1"/>
    <row r="3961" ht="18" customHeight="1"/>
    <row r="3962" ht="18" customHeight="1"/>
    <row r="3963" ht="18" customHeight="1"/>
    <row r="3964" ht="18" customHeight="1"/>
    <row r="3965" ht="18" customHeight="1"/>
    <row r="3966" ht="18" customHeight="1"/>
    <row r="3967" ht="18" customHeight="1"/>
    <row r="3968" ht="18" customHeight="1"/>
    <row r="3969" ht="18" customHeight="1"/>
    <row r="3970" ht="18" customHeight="1"/>
    <row r="3971" ht="18" customHeight="1"/>
    <row r="3972" ht="18" customHeight="1"/>
    <row r="3973" ht="18" customHeight="1"/>
    <row r="3974" ht="18" customHeight="1"/>
    <row r="3975" ht="18" customHeight="1"/>
    <row r="3976" ht="18" customHeight="1"/>
    <row r="3977" ht="18" customHeight="1"/>
    <row r="3978" ht="18" customHeight="1"/>
    <row r="3979" ht="18" customHeight="1"/>
    <row r="3980" ht="18" customHeight="1"/>
    <row r="3981" ht="18" customHeight="1"/>
    <row r="3982" ht="18" customHeight="1"/>
    <row r="3983" ht="18" customHeight="1"/>
    <row r="3984" ht="18" customHeight="1"/>
    <row r="3985" ht="18" customHeight="1"/>
    <row r="3986" ht="18" customHeight="1"/>
    <row r="3987" ht="18" customHeight="1"/>
    <row r="3988" ht="18" customHeight="1"/>
    <row r="3989" ht="18" customHeight="1"/>
    <row r="3990" ht="18" customHeight="1"/>
    <row r="3991" ht="18" customHeight="1"/>
    <row r="3992" ht="18" customHeight="1"/>
    <row r="3993" ht="18" customHeight="1"/>
    <row r="3994" ht="18" customHeight="1"/>
    <row r="3995" ht="18" customHeight="1"/>
    <row r="3996" ht="18" customHeight="1"/>
    <row r="3997" ht="18" customHeight="1"/>
    <row r="3998" ht="18" customHeight="1"/>
    <row r="3999" ht="18" customHeight="1"/>
    <row r="4000" ht="18" customHeight="1"/>
    <row r="4001" ht="18" customHeight="1"/>
    <row r="4002" ht="18" customHeight="1"/>
    <row r="4003" ht="18" customHeight="1"/>
    <row r="4004" ht="18" customHeight="1"/>
    <row r="4005" ht="18" customHeight="1"/>
    <row r="4006" ht="18" customHeight="1"/>
    <row r="4007" ht="18" customHeight="1"/>
    <row r="4008" ht="18" customHeight="1"/>
    <row r="4009" ht="18" customHeight="1"/>
    <row r="4010" ht="18" customHeight="1"/>
    <row r="4011" ht="18" customHeight="1"/>
    <row r="4012" ht="18" customHeight="1"/>
    <row r="4013" ht="18" customHeight="1"/>
    <row r="4014" ht="18" customHeight="1"/>
    <row r="4015" ht="18" customHeight="1"/>
    <row r="4016" ht="18" customHeight="1"/>
    <row r="4017" ht="18" customHeight="1"/>
    <row r="4018" ht="18" customHeight="1"/>
    <row r="4019" ht="18" customHeight="1"/>
    <row r="4020" ht="18" customHeight="1"/>
    <row r="4021" ht="18" customHeight="1"/>
    <row r="4022" ht="18" customHeight="1"/>
    <row r="4023" ht="18" customHeight="1"/>
    <row r="4024" ht="18" customHeight="1"/>
    <row r="4025" ht="18" customHeight="1"/>
    <row r="4026" ht="18" customHeight="1"/>
    <row r="4027" ht="18" customHeight="1"/>
    <row r="4028" ht="18" customHeight="1"/>
    <row r="4029" ht="18" customHeight="1"/>
    <row r="4030" ht="18" customHeight="1"/>
    <row r="4031" ht="18" customHeight="1"/>
    <row r="4032" ht="18" customHeight="1"/>
    <row r="4033" ht="18" customHeight="1"/>
    <row r="4034" ht="18" customHeight="1"/>
    <row r="4035" ht="18" customHeight="1"/>
    <row r="4036" ht="18" customHeight="1"/>
    <row r="4037" ht="18" customHeight="1"/>
    <row r="4038" ht="18" customHeight="1"/>
    <row r="4039" ht="18" customHeight="1"/>
    <row r="4040" ht="18" customHeight="1"/>
    <row r="4041" ht="18" customHeight="1"/>
    <row r="4042" ht="18" customHeight="1"/>
    <row r="4043" ht="18" customHeight="1"/>
    <row r="4044" ht="18" customHeight="1"/>
    <row r="4045" ht="18" customHeight="1"/>
    <row r="4046" ht="18" customHeight="1"/>
    <row r="4047" ht="18" customHeight="1"/>
    <row r="4048" ht="18" customHeight="1"/>
    <row r="4049" ht="18" customHeight="1"/>
    <row r="4050" ht="18" customHeight="1"/>
    <row r="4051" ht="18" customHeight="1"/>
    <row r="4052" ht="18" customHeight="1"/>
    <row r="4053" ht="18" customHeight="1"/>
    <row r="4054" ht="18" customHeight="1"/>
    <row r="4055" ht="18" customHeight="1"/>
    <row r="4056" ht="18" customHeight="1"/>
    <row r="4057" ht="18" customHeight="1"/>
    <row r="4058" ht="18" customHeight="1"/>
    <row r="4059" ht="18" customHeight="1"/>
    <row r="4060" ht="18" customHeight="1"/>
    <row r="4061" ht="18" customHeight="1"/>
    <row r="4062" ht="18" customHeight="1"/>
    <row r="4063" ht="18" customHeight="1"/>
    <row r="4064" ht="18" customHeight="1"/>
    <row r="4065" ht="18" customHeight="1"/>
    <row r="4066" ht="18" customHeight="1"/>
    <row r="4067" ht="18" customHeight="1"/>
    <row r="4068" ht="18" customHeight="1"/>
    <row r="4069" ht="18" customHeight="1"/>
    <row r="4070" ht="18" customHeight="1"/>
    <row r="4071" ht="18" customHeight="1"/>
    <row r="4072" ht="18" customHeight="1"/>
    <row r="4073" ht="18" customHeight="1"/>
    <row r="4074" ht="18" customHeight="1"/>
    <row r="4075" ht="18" customHeight="1"/>
    <row r="4076" ht="18" customHeight="1"/>
    <row r="4077" ht="18" customHeight="1"/>
    <row r="4078" ht="18" customHeight="1"/>
    <row r="4079" ht="18" customHeight="1"/>
    <row r="4080" ht="18" customHeight="1"/>
    <row r="4081" ht="18" customHeight="1"/>
    <row r="4082" ht="18" customHeight="1"/>
    <row r="4083" ht="18" customHeight="1"/>
    <row r="4084" ht="18" customHeight="1"/>
    <row r="4085" ht="18" customHeight="1"/>
    <row r="4086" ht="18" customHeight="1"/>
    <row r="4087" ht="18" customHeight="1"/>
    <row r="4088" ht="18" customHeight="1"/>
    <row r="4089" ht="18" customHeight="1"/>
    <row r="4090" ht="18" customHeight="1"/>
    <row r="4091" ht="18" customHeight="1"/>
    <row r="4092" ht="18" customHeight="1"/>
    <row r="4093" ht="18" customHeight="1"/>
    <row r="4094" ht="18" customHeight="1"/>
    <row r="4095" ht="18" customHeight="1"/>
    <row r="4096" ht="18" customHeight="1"/>
    <row r="4097" ht="18" customHeight="1"/>
    <row r="4098" ht="18" customHeight="1"/>
    <row r="4099" ht="18" customHeight="1"/>
    <row r="4100" ht="18" customHeight="1"/>
    <row r="4101" ht="18" customHeight="1"/>
    <row r="4102" ht="18" customHeight="1"/>
    <row r="4103" ht="18" customHeight="1"/>
    <row r="4104" ht="18" customHeight="1"/>
    <row r="4105" ht="18" customHeight="1"/>
    <row r="4106" ht="18" customHeight="1"/>
    <row r="4107" ht="18" customHeight="1"/>
    <row r="4108" ht="18" customHeight="1"/>
    <row r="4109" ht="18" customHeight="1"/>
    <row r="4110" ht="18" customHeight="1"/>
    <row r="4111" ht="18" customHeight="1"/>
    <row r="4112" ht="18" customHeight="1"/>
    <row r="4113" ht="18" customHeight="1"/>
    <row r="4114" ht="18" customHeight="1"/>
    <row r="4115" ht="18" customHeight="1"/>
    <row r="4116" ht="18" customHeight="1"/>
    <row r="4117" ht="18" customHeight="1"/>
    <row r="4118" ht="18" customHeight="1"/>
    <row r="4119" ht="18" customHeight="1"/>
    <row r="4120" ht="18" customHeight="1"/>
    <row r="4121" ht="18" customHeight="1"/>
    <row r="4122" ht="18" customHeight="1"/>
    <row r="4123" ht="18" customHeight="1"/>
    <row r="4124" ht="18" customHeight="1"/>
    <row r="4125" ht="18" customHeight="1"/>
    <row r="4126" ht="18" customHeight="1"/>
    <row r="4127" ht="18" customHeight="1"/>
    <row r="4128" ht="18" customHeight="1"/>
    <row r="4129" ht="18" customHeight="1"/>
    <row r="4130" ht="18" customHeight="1"/>
    <row r="4131" ht="18" customHeight="1"/>
    <row r="4132" ht="18" customHeight="1"/>
    <row r="4133" ht="18" customHeight="1"/>
    <row r="4134" ht="18" customHeight="1"/>
    <row r="4135" ht="18" customHeight="1"/>
    <row r="4136" ht="18" customHeight="1"/>
    <row r="4137" ht="18" customHeight="1"/>
    <row r="4138" ht="18" customHeight="1"/>
    <row r="4139" ht="18" customHeight="1"/>
    <row r="4140" ht="18" customHeight="1"/>
    <row r="4141" ht="18" customHeight="1"/>
    <row r="4142" ht="18" customHeight="1"/>
    <row r="4143" ht="18" customHeight="1"/>
    <row r="4144" ht="18" customHeight="1"/>
    <row r="4145" ht="18" customHeight="1"/>
    <row r="4146" ht="18" customHeight="1"/>
    <row r="4147" ht="18" customHeight="1"/>
    <row r="4148" ht="18" customHeight="1"/>
    <row r="4149" ht="18" customHeight="1"/>
    <row r="4150" ht="18" customHeight="1"/>
    <row r="4151" ht="18" customHeight="1"/>
    <row r="4152" ht="18" customHeight="1"/>
    <row r="4153" ht="18" customHeight="1"/>
    <row r="4154" ht="18" customHeight="1"/>
    <row r="4155" ht="18" customHeight="1"/>
    <row r="4156" ht="18" customHeight="1"/>
    <row r="4157" ht="18" customHeight="1"/>
    <row r="4158" ht="18" customHeight="1"/>
    <row r="4159" ht="18" customHeight="1"/>
    <row r="4160" ht="18" customHeight="1"/>
    <row r="4161" ht="18" customHeight="1"/>
    <row r="4162" ht="18" customHeight="1"/>
    <row r="4163" ht="18" customHeight="1"/>
    <row r="4164" ht="18" customHeight="1"/>
    <row r="4165" ht="18" customHeight="1"/>
    <row r="4166" ht="18" customHeight="1"/>
    <row r="4167" ht="18" customHeight="1"/>
    <row r="4168" ht="18" customHeight="1"/>
    <row r="4169" ht="18" customHeight="1"/>
    <row r="4170" ht="18" customHeight="1"/>
    <row r="4171" ht="18" customHeight="1"/>
    <row r="4172" ht="18" customHeight="1"/>
    <row r="4173" ht="18" customHeight="1"/>
    <row r="4174" ht="18" customHeight="1"/>
    <row r="4175" ht="18" customHeight="1"/>
    <row r="4176" ht="18" customHeight="1"/>
    <row r="4177" ht="18" customHeight="1"/>
    <row r="4178" ht="18" customHeight="1"/>
    <row r="4179" ht="18" customHeight="1"/>
    <row r="4180" ht="18" customHeight="1"/>
    <row r="4181" ht="18" customHeight="1"/>
    <row r="4182" ht="18" customHeight="1"/>
    <row r="4183" ht="18" customHeight="1"/>
    <row r="4184" ht="18" customHeight="1"/>
    <row r="4185" ht="18" customHeight="1"/>
    <row r="4186" ht="18" customHeight="1"/>
    <row r="4187" ht="18" customHeight="1"/>
    <row r="4188" ht="18" customHeight="1"/>
    <row r="4189" ht="18" customHeight="1"/>
    <row r="4190" ht="18" customHeight="1"/>
    <row r="4191" ht="18" customHeight="1"/>
    <row r="4192" ht="18" customHeight="1"/>
    <row r="4193" ht="18" customHeight="1"/>
    <row r="4194" ht="18" customHeight="1"/>
    <row r="4195" ht="18" customHeight="1"/>
    <row r="4196" ht="18" customHeight="1"/>
    <row r="4197" ht="18" customHeight="1"/>
    <row r="4198" ht="18" customHeight="1"/>
    <row r="4199" ht="18" customHeight="1"/>
    <row r="4200" ht="18" customHeight="1"/>
    <row r="4201" ht="18" customHeight="1"/>
    <row r="4202" ht="18" customHeight="1"/>
    <row r="4203" ht="18" customHeight="1"/>
    <row r="4204" ht="18" customHeight="1"/>
    <row r="4205" ht="18" customHeight="1"/>
    <row r="4206" ht="18" customHeight="1"/>
    <row r="4207" ht="18" customHeight="1"/>
    <row r="4208" ht="18" customHeight="1"/>
    <row r="4209" ht="18" customHeight="1"/>
    <row r="4210" ht="18" customHeight="1"/>
    <row r="4211" ht="18" customHeight="1"/>
    <row r="4212" ht="18" customHeight="1"/>
    <row r="4213" ht="18" customHeight="1"/>
    <row r="4214" ht="18" customHeight="1"/>
    <row r="4215" ht="18" customHeight="1"/>
    <row r="4216" ht="18" customHeight="1"/>
    <row r="4217" ht="18" customHeight="1"/>
    <row r="4218" ht="18" customHeight="1"/>
    <row r="4219" ht="18" customHeight="1"/>
    <row r="4220" ht="18" customHeight="1"/>
    <row r="4221" ht="18" customHeight="1"/>
    <row r="4222" ht="18" customHeight="1"/>
    <row r="4223" ht="18" customHeight="1"/>
    <row r="4224" ht="18" customHeight="1"/>
    <row r="4225" ht="18" customHeight="1"/>
    <row r="4226" ht="18" customHeight="1"/>
    <row r="4227" ht="18" customHeight="1"/>
    <row r="4228" ht="18" customHeight="1"/>
    <row r="4229" ht="18" customHeight="1"/>
    <row r="4230" ht="18" customHeight="1"/>
    <row r="4231" ht="18" customHeight="1"/>
    <row r="4232" ht="18" customHeight="1"/>
    <row r="4233" ht="18" customHeight="1"/>
    <row r="4234" ht="18" customHeight="1"/>
    <row r="4235" ht="18" customHeight="1"/>
    <row r="4236" ht="18" customHeight="1"/>
    <row r="4237" ht="18" customHeight="1"/>
    <row r="4238" ht="18" customHeight="1"/>
    <row r="4239" ht="18" customHeight="1"/>
    <row r="4240" ht="18" customHeight="1"/>
    <row r="4241" ht="18" customHeight="1"/>
    <row r="4242" ht="18" customHeight="1"/>
    <row r="4243" ht="18" customHeight="1"/>
    <row r="4244" ht="18" customHeight="1"/>
    <row r="4245" ht="18" customHeight="1"/>
    <row r="4246" ht="18" customHeight="1"/>
    <row r="4247" ht="18" customHeight="1"/>
    <row r="4248" ht="18" customHeight="1"/>
    <row r="4249" ht="18" customHeight="1"/>
    <row r="4250" ht="18" customHeight="1"/>
    <row r="4251" ht="18" customHeight="1"/>
    <row r="4252" ht="18" customHeight="1"/>
    <row r="4253" ht="18" customHeight="1"/>
    <row r="4254" ht="18" customHeight="1"/>
    <row r="4255" ht="18" customHeight="1"/>
    <row r="4256" ht="18" customHeight="1"/>
    <row r="4257" ht="18" customHeight="1"/>
    <row r="4258" ht="18" customHeight="1"/>
    <row r="4259" ht="18" customHeight="1"/>
    <row r="4260" ht="18" customHeight="1"/>
    <row r="4261" ht="18" customHeight="1"/>
    <row r="4262" ht="18" customHeight="1"/>
    <row r="4263" ht="18" customHeight="1"/>
    <row r="4264" ht="18" customHeight="1"/>
    <row r="4265" ht="18" customHeight="1"/>
    <row r="4266" ht="18" customHeight="1"/>
    <row r="4267" ht="18" customHeight="1"/>
    <row r="4268" ht="18" customHeight="1"/>
    <row r="4269" ht="18" customHeight="1"/>
    <row r="4270" ht="18" customHeight="1"/>
    <row r="4271" ht="18" customHeight="1"/>
    <row r="4272" ht="18" customHeight="1"/>
    <row r="4273" ht="18" customHeight="1"/>
    <row r="4274" ht="18" customHeight="1"/>
    <row r="4275" ht="18" customHeight="1"/>
    <row r="4276" ht="18" customHeight="1"/>
    <row r="4277" ht="18" customHeight="1"/>
    <row r="4278" ht="18" customHeight="1"/>
    <row r="4279" ht="18" customHeight="1"/>
    <row r="4280" ht="18" customHeight="1"/>
    <row r="4281" ht="18" customHeight="1"/>
    <row r="4282" ht="18" customHeight="1"/>
    <row r="4283" ht="18" customHeight="1"/>
    <row r="4284" ht="18" customHeight="1"/>
    <row r="4285" ht="18" customHeight="1"/>
    <row r="4286" ht="18" customHeight="1"/>
    <row r="4287" ht="18" customHeight="1"/>
    <row r="4288" ht="18" customHeight="1"/>
    <row r="4289" ht="18" customHeight="1"/>
    <row r="4290" ht="18" customHeight="1"/>
    <row r="4291" ht="18" customHeight="1"/>
    <row r="4292" ht="18" customHeight="1"/>
    <row r="4293" ht="18" customHeight="1"/>
    <row r="4294" ht="18" customHeight="1"/>
    <row r="4295" ht="18" customHeight="1"/>
    <row r="4296" ht="18" customHeight="1"/>
    <row r="4297" ht="18" customHeight="1"/>
    <row r="4298" ht="18" customHeight="1"/>
    <row r="4299" ht="18" customHeight="1"/>
    <row r="4300" ht="18" customHeight="1"/>
    <row r="4301" ht="18" customHeight="1"/>
    <row r="4302" ht="18" customHeight="1"/>
    <row r="4303" ht="18" customHeight="1"/>
    <row r="4304" ht="18" customHeight="1"/>
    <row r="4305" ht="18" customHeight="1"/>
    <row r="4306" ht="18" customHeight="1"/>
    <row r="4307" ht="18" customHeight="1"/>
    <row r="4308" ht="18" customHeight="1"/>
    <row r="4309" ht="18" customHeight="1"/>
    <row r="4310" ht="18" customHeight="1"/>
    <row r="4311" ht="18" customHeight="1"/>
    <row r="4312" ht="18" customHeight="1"/>
    <row r="4313" ht="18" customHeight="1"/>
    <row r="4314" ht="18" customHeight="1"/>
    <row r="4315" ht="18" customHeight="1"/>
    <row r="4316" ht="18" customHeight="1"/>
    <row r="4317" ht="18" customHeight="1"/>
    <row r="4318" ht="18" customHeight="1"/>
    <row r="4319" ht="18" customHeight="1"/>
    <row r="4320" ht="18" customHeight="1"/>
    <row r="4321" ht="18" customHeight="1"/>
    <row r="4322" ht="18" customHeight="1"/>
    <row r="4323" ht="18" customHeight="1"/>
    <row r="4324" ht="18" customHeight="1"/>
    <row r="4325" ht="18" customHeight="1"/>
    <row r="4326" ht="18" customHeight="1"/>
    <row r="4327" ht="18" customHeight="1"/>
    <row r="4328" ht="18" customHeight="1"/>
    <row r="4329" ht="18" customHeight="1"/>
    <row r="4330" ht="18" customHeight="1"/>
    <row r="4331" ht="18" customHeight="1"/>
    <row r="4332" ht="18" customHeight="1"/>
    <row r="4333" ht="18" customHeight="1"/>
    <row r="4334" ht="18" customHeight="1"/>
    <row r="4335" ht="18" customHeight="1"/>
    <row r="4336" ht="18" customHeight="1"/>
    <row r="4337" ht="18" customHeight="1"/>
    <row r="4338" ht="18" customHeight="1"/>
    <row r="4339" ht="18" customHeight="1"/>
    <row r="4340" ht="18" customHeight="1"/>
    <row r="4341" ht="18" customHeight="1"/>
    <row r="4342" ht="18" customHeight="1"/>
    <row r="4343" ht="18" customHeight="1"/>
    <row r="4344" ht="18" customHeight="1"/>
    <row r="4345" ht="18" customHeight="1"/>
    <row r="4346" ht="18" customHeight="1"/>
    <row r="4347" ht="18" customHeight="1"/>
    <row r="4348" ht="18" customHeight="1"/>
    <row r="4349" ht="18" customHeight="1"/>
    <row r="4350" ht="18" customHeight="1"/>
    <row r="4351" ht="18" customHeight="1"/>
    <row r="4352" ht="18" customHeight="1"/>
    <row r="4353" ht="18" customHeight="1"/>
    <row r="4354" ht="18" customHeight="1"/>
    <row r="4355" ht="18" customHeight="1"/>
    <row r="4356" ht="18" customHeight="1"/>
    <row r="4357" ht="18" customHeight="1"/>
    <row r="4358" ht="18" customHeight="1"/>
    <row r="4359" ht="18" customHeight="1"/>
    <row r="4360" ht="18" customHeight="1"/>
    <row r="4361" ht="18" customHeight="1"/>
    <row r="4362" ht="18" customHeight="1"/>
    <row r="4363" ht="18" customHeight="1"/>
    <row r="4364" ht="18" customHeight="1"/>
    <row r="4365" ht="18" customHeight="1"/>
    <row r="4366" ht="18" customHeight="1"/>
    <row r="4367" ht="18" customHeight="1"/>
    <row r="4368" ht="18" customHeight="1"/>
    <row r="4369" ht="18" customHeight="1"/>
    <row r="4370" ht="18" customHeight="1"/>
    <row r="4371" ht="18" customHeight="1"/>
    <row r="4372" ht="18" customHeight="1"/>
    <row r="4373" ht="18" customHeight="1"/>
    <row r="4374" ht="18" customHeight="1"/>
    <row r="4375" ht="18" customHeight="1"/>
    <row r="4376" ht="18" customHeight="1"/>
    <row r="4377" ht="18" customHeight="1"/>
    <row r="4378" ht="18" customHeight="1"/>
    <row r="4379" ht="18" customHeight="1"/>
    <row r="4380" ht="18" customHeight="1"/>
    <row r="4381" ht="18" customHeight="1"/>
    <row r="4382" ht="18" customHeight="1"/>
    <row r="4383" ht="18" customHeight="1"/>
    <row r="4384" ht="18" customHeight="1"/>
    <row r="4385" ht="18" customHeight="1"/>
    <row r="4386" ht="18" customHeight="1"/>
    <row r="4387" ht="18" customHeight="1"/>
    <row r="4388" ht="18" customHeight="1"/>
    <row r="4389" ht="18" customHeight="1"/>
    <row r="4390" ht="18" customHeight="1"/>
    <row r="4391" ht="18" customHeight="1"/>
    <row r="4392" ht="18" customHeight="1"/>
    <row r="4393" ht="18" customHeight="1"/>
    <row r="4394" ht="18" customHeight="1"/>
    <row r="4395" ht="18" customHeight="1"/>
    <row r="4396" ht="18" customHeight="1"/>
    <row r="4397" ht="18" customHeight="1"/>
    <row r="4398" ht="18" customHeight="1"/>
    <row r="4399" ht="18" customHeight="1"/>
    <row r="4400" ht="18" customHeight="1"/>
    <row r="4401" ht="18" customHeight="1"/>
    <row r="4402" ht="18" customHeight="1"/>
    <row r="4403" ht="18" customHeight="1"/>
    <row r="4404" ht="18" customHeight="1"/>
    <row r="4405" ht="18" customHeight="1"/>
    <row r="4406" ht="18" customHeight="1"/>
    <row r="4407" ht="18" customHeight="1"/>
    <row r="4408" ht="18" customHeight="1"/>
    <row r="4409" ht="18" customHeight="1"/>
    <row r="4410" ht="18" customHeight="1"/>
    <row r="4411" ht="18" customHeight="1"/>
    <row r="4412" ht="18" customHeight="1"/>
    <row r="4413" ht="18" customHeight="1"/>
    <row r="4414" ht="18" customHeight="1"/>
    <row r="4415" ht="18" customHeight="1"/>
    <row r="4416" ht="18" customHeight="1"/>
    <row r="4417" ht="18" customHeight="1"/>
    <row r="4418" ht="18" customHeight="1"/>
    <row r="4419" ht="18" customHeight="1"/>
    <row r="4420" ht="18" customHeight="1"/>
    <row r="4421" ht="18" customHeight="1"/>
    <row r="4422" ht="18" customHeight="1"/>
    <row r="4423" ht="18" customHeight="1"/>
    <row r="4424" ht="18" customHeight="1"/>
    <row r="4425" ht="18" customHeight="1"/>
    <row r="4426" ht="18" customHeight="1"/>
    <row r="4427" ht="18" customHeight="1"/>
    <row r="4428" ht="18" customHeight="1"/>
    <row r="4429" ht="18" customHeight="1"/>
    <row r="4430" ht="18" customHeight="1"/>
    <row r="4431" ht="18" customHeight="1"/>
    <row r="4432" ht="18" customHeight="1"/>
    <row r="4433" ht="18" customHeight="1"/>
    <row r="4434" ht="18" customHeight="1"/>
    <row r="4435" ht="18" customHeight="1"/>
    <row r="4436" ht="18" customHeight="1"/>
    <row r="4437" ht="18" customHeight="1"/>
    <row r="4438" ht="18" customHeight="1"/>
    <row r="4439" ht="18" customHeight="1"/>
    <row r="4440" ht="18" customHeight="1"/>
    <row r="4441" ht="18" customHeight="1"/>
    <row r="4442" ht="18" customHeight="1"/>
    <row r="4443" ht="18" customHeight="1"/>
    <row r="4444" ht="18" customHeight="1"/>
    <row r="4445" ht="18" customHeight="1"/>
    <row r="4446" ht="18" customHeight="1"/>
    <row r="4447" ht="18" customHeight="1"/>
    <row r="4448" ht="18" customHeight="1"/>
    <row r="4449" ht="18" customHeight="1"/>
    <row r="4450" ht="18" customHeight="1"/>
    <row r="4451" ht="18" customHeight="1"/>
    <row r="4452" ht="18" customHeight="1"/>
    <row r="4453" ht="18" customHeight="1"/>
    <row r="4454" ht="18" customHeight="1"/>
    <row r="4455" ht="18" customHeight="1"/>
    <row r="4456" ht="18" customHeight="1"/>
    <row r="4457" ht="18" customHeight="1"/>
    <row r="4458" ht="18" customHeight="1"/>
    <row r="4459" ht="18" customHeight="1"/>
    <row r="4460" ht="18" customHeight="1"/>
    <row r="4461" ht="18" customHeight="1"/>
    <row r="4462" ht="18" customHeight="1"/>
    <row r="4463" ht="18" customHeight="1"/>
    <row r="4464" ht="18" customHeight="1"/>
    <row r="4465" ht="18" customHeight="1"/>
    <row r="4466" ht="18" customHeight="1"/>
    <row r="4467" ht="18" customHeight="1"/>
    <row r="4468" ht="18" customHeight="1"/>
    <row r="4469" ht="18" customHeight="1"/>
    <row r="4470" ht="18" customHeight="1"/>
    <row r="4471" ht="18" customHeight="1"/>
    <row r="4472" ht="18" customHeight="1"/>
    <row r="4473" ht="18" customHeight="1"/>
    <row r="4474" ht="18" customHeight="1"/>
    <row r="4475" ht="18" customHeight="1"/>
    <row r="4476" ht="18" customHeight="1"/>
    <row r="4477" ht="18" customHeight="1"/>
    <row r="4478" ht="18" customHeight="1"/>
    <row r="4479" ht="18" customHeight="1"/>
    <row r="4480" ht="18" customHeight="1"/>
    <row r="4481" ht="18" customHeight="1"/>
    <row r="4482" ht="18" customHeight="1"/>
    <row r="4483" ht="18" customHeight="1"/>
    <row r="4484" ht="18" customHeight="1"/>
    <row r="4485" ht="18" customHeight="1"/>
    <row r="4486" ht="18" customHeight="1"/>
    <row r="4487" ht="18" customHeight="1"/>
    <row r="4488" ht="18" customHeight="1"/>
    <row r="4489" ht="18" customHeight="1"/>
    <row r="4490" ht="18" customHeight="1"/>
    <row r="4491" ht="18" customHeight="1"/>
    <row r="4492" ht="18" customHeight="1"/>
    <row r="4493" ht="18" customHeight="1"/>
    <row r="4494" ht="18" customHeight="1"/>
    <row r="4495" ht="18" customHeight="1"/>
    <row r="4496" ht="18" customHeight="1"/>
    <row r="4497" ht="18" customHeight="1"/>
    <row r="4498" ht="18" customHeight="1"/>
    <row r="4499" ht="18" customHeight="1"/>
    <row r="4500" ht="18" customHeight="1"/>
    <row r="4501" ht="18" customHeight="1"/>
    <row r="4502" ht="18" customHeight="1"/>
    <row r="4503" ht="18" customHeight="1"/>
    <row r="4504" ht="18" customHeight="1"/>
    <row r="4505" ht="18" customHeight="1"/>
    <row r="4506" ht="18" customHeight="1"/>
    <row r="4507" ht="18" customHeight="1"/>
    <row r="4508" ht="18" customHeight="1"/>
    <row r="4509" ht="18" customHeight="1"/>
    <row r="4510" ht="18" customHeight="1"/>
    <row r="4511" ht="18" customHeight="1"/>
    <row r="4512" ht="18" customHeight="1"/>
    <row r="4513" ht="18" customHeight="1"/>
    <row r="4514" ht="18" customHeight="1"/>
    <row r="4515" ht="18" customHeight="1"/>
    <row r="4516" ht="18" customHeight="1"/>
    <row r="4517" ht="18" customHeight="1"/>
    <row r="4518" ht="18" customHeight="1"/>
    <row r="4519" ht="18" customHeight="1"/>
    <row r="4520" ht="18" customHeight="1"/>
    <row r="4521" ht="18" customHeight="1"/>
    <row r="4522" ht="18" customHeight="1"/>
    <row r="4523" ht="18" customHeight="1"/>
    <row r="4524" ht="18" customHeight="1"/>
    <row r="4525" ht="18" customHeight="1"/>
    <row r="4526" ht="18" customHeight="1"/>
    <row r="4527" ht="18" customHeight="1"/>
    <row r="4528" ht="18" customHeight="1"/>
    <row r="4529" ht="18" customHeight="1"/>
    <row r="4530" ht="18" customHeight="1"/>
    <row r="4531" ht="18" customHeight="1"/>
    <row r="4532" ht="18" customHeight="1"/>
    <row r="4533" ht="18" customHeight="1"/>
    <row r="4534" ht="18" customHeight="1"/>
    <row r="4535" ht="18" customHeight="1"/>
    <row r="4536" ht="18" customHeight="1"/>
    <row r="4537" ht="18" customHeight="1"/>
    <row r="4538" ht="18" customHeight="1"/>
    <row r="4539" ht="18" customHeight="1"/>
    <row r="4540" ht="18" customHeight="1"/>
    <row r="4541" ht="18" customHeight="1"/>
    <row r="4542" ht="18" customHeight="1"/>
    <row r="4543" ht="18" customHeight="1"/>
    <row r="4544" ht="18" customHeight="1"/>
    <row r="4545" ht="18" customHeight="1"/>
    <row r="4546" ht="18" customHeight="1"/>
    <row r="4547" ht="18" customHeight="1"/>
    <row r="4548" ht="18" customHeight="1"/>
    <row r="4549" ht="18" customHeight="1"/>
    <row r="4550" ht="18" customHeight="1"/>
    <row r="4551" ht="18" customHeight="1"/>
    <row r="4552" ht="18" customHeight="1"/>
    <row r="4553" ht="18" customHeight="1"/>
    <row r="4554" ht="18" customHeight="1"/>
    <row r="4555" ht="18" customHeight="1"/>
    <row r="4556" ht="18" customHeight="1"/>
    <row r="4557" ht="18" customHeight="1"/>
    <row r="4558" ht="18" customHeight="1"/>
    <row r="4559" ht="18" customHeight="1"/>
    <row r="4560" ht="18" customHeight="1"/>
    <row r="4561" ht="18" customHeight="1"/>
    <row r="4562" ht="18" customHeight="1"/>
    <row r="4563" ht="18" customHeight="1"/>
    <row r="4564" ht="18" customHeight="1"/>
    <row r="4565" ht="18" customHeight="1"/>
    <row r="4566" ht="18" customHeight="1"/>
    <row r="4567" ht="18" customHeight="1"/>
    <row r="4568" ht="18" customHeight="1"/>
    <row r="4569" ht="18" customHeight="1"/>
    <row r="4570" ht="18" customHeight="1"/>
    <row r="4571" ht="18" customHeight="1"/>
    <row r="4572" ht="18" customHeight="1"/>
    <row r="4573" ht="18" customHeight="1"/>
    <row r="4574" ht="18" customHeight="1"/>
    <row r="4575" ht="18" customHeight="1"/>
    <row r="4576" ht="18" customHeight="1"/>
    <row r="4577" ht="18" customHeight="1"/>
    <row r="4578" ht="18" customHeight="1"/>
    <row r="4579" ht="18" customHeight="1"/>
    <row r="4580" ht="18" customHeight="1"/>
    <row r="4581" ht="18" customHeight="1"/>
    <row r="4582" ht="18" customHeight="1"/>
    <row r="4583" ht="18" customHeight="1"/>
    <row r="4584" ht="18" customHeight="1"/>
    <row r="4585" ht="18" customHeight="1"/>
    <row r="4586" ht="18" customHeight="1"/>
    <row r="4587" ht="18" customHeight="1"/>
    <row r="4588" ht="18" customHeight="1"/>
    <row r="4589" ht="18" customHeight="1"/>
    <row r="4590" ht="18" customHeight="1"/>
    <row r="4591" ht="18" customHeight="1"/>
    <row r="4592" ht="18" customHeight="1"/>
    <row r="4593" ht="18" customHeight="1"/>
    <row r="4594" ht="18" customHeight="1"/>
    <row r="4595" ht="18" customHeight="1"/>
    <row r="4596" ht="18" customHeight="1"/>
    <row r="4597" ht="18" customHeight="1"/>
    <row r="4598" ht="18" customHeight="1"/>
    <row r="4599" ht="18" customHeight="1"/>
    <row r="4600" ht="18" customHeight="1"/>
    <row r="4601" ht="18" customHeight="1"/>
    <row r="4602" ht="18" customHeight="1"/>
    <row r="4603" ht="18" customHeight="1"/>
    <row r="4604" ht="18" customHeight="1"/>
    <row r="4605" ht="18" customHeight="1"/>
    <row r="4606" ht="18" customHeight="1"/>
    <row r="4607" ht="18" customHeight="1"/>
    <row r="4608" ht="18" customHeight="1"/>
    <row r="4609" ht="18" customHeight="1"/>
    <row r="4610" ht="18" customHeight="1"/>
    <row r="4611" ht="18" customHeight="1"/>
    <row r="4612" ht="18" customHeight="1"/>
    <row r="4613" ht="18" customHeight="1"/>
    <row r="4614" ht="18" customHeight="1"/>
    <row r="4615" ht="18" customHeight="1"/>
    <row r="4616" ht="18" customHeight="1"/>
    <row r="4617" ht="18" customHeight="1"/>
    <row r="4618" ht="18" customHeight="1"/>
    <row r="4619" ht="18" customHeight="1"/>
    <row r="4620" ht="18" customHeight="1"/>
    <row r="4621" ht="18" customHeight="1"/>
    <row r="4622" ht="18" customHeight="1"/>
    <row r="4623" ht="18" customHeight="1"/>
    <row r="4624" ht="18" customHeight="1"/>
    <row r="4625" ht="18" customHeight="1"/>
    <row r="4626" ht="18" customHeight="1"/>
    <row r="4627" ht="18" customHeight="1"/>
    <row r="4628" ht="18" customHeight="1"/>
    <row r="4629" ht="18" customHeight="1"/>
    <row r="4630" ht="18" customHeight="1"/>
    <row r="4631" ht="18" customHeight="1"/>
    <row r="4632" ht="18" customHeight="1"/>
    <row r="4633" ht="18" customHeight="1"/>
    <row r="4634" ht="18" customHeight="1"/>
    <row r="4635" ht="18" customHeight="1"/>
    <row r="4636" ht="18" customHeight="1"/>
    <row r="4637" ht="18" customHeight="1"/>
    <row r="4638" ht="18" customHeight="1"/>
    <row r="4639" ht="18" customHeight="1"/>
    <row r="4640" ht="18" customHeight="1"/>
    <row r="4641" ht="18" customHeight="1"/>
    <row r="4642" ht="18" customHeight="1"/>
    <row r="4643" ht="18" customHeight="1"/>
    <row r="4644" ht="18" customHeight="1"/>
    <row r="4645" ht="18" customHeight="1"/>
    <row r="4646" ht="18" customHeight="1"/>
    <row r="4647" ht="18" customHeight="1"/>
    <row r="4648" ht="18" customHeight="1"/>
    <row r="4649" ht="18" customHeight="1"/>
    <row r="4650" ht="18" customHeight="1"/>
    <row r="4651" ht="18" customHeight="1"/>
    <row r="4652" ht="18" customHeight="1"/>
    <row r="4653" ht="18" customHeight="1"/>
    <row r="4654" ht="18" customHeight="1"/>
    <row r="4655" ht="18" customHeight="1"/>
    <row r="4656" ht="18" customHeight="1"/>
    <row r="4657" ht="18" customHeight="1"/>
    <row r="4658" ht="18" customHeight="1"/>
    <row r="4659" ht="18" customHeight="1"/>
    <row r="4660" ht="18" customHeight="1"/>
    <row r="4661" ht="18" customHeight="1"/>
    <row r="4662" ht="18" customHeight="1"/>
    <row r="4663" ht="18" customHeight="1"/>
    <row r="4664" ht="18" customHeight="1"/>
    <row r="4665" ht="18" customHeight="1"/>
    <row r="4666" ht="18" customHeight="1"/>
    <row r="4667" ht="18" customHeight="1"/>
    <row r="4668" ht="18" customHeight="1"/>
    <row r="4669" ht="18" customHeight="1"/>
    <row r="4670" ht="18" customHeight="1"/>
    <row r="4671" ht="18" customHeight="1"/>
    <row r="4672" ht="18" customHeight="1"/>
    <row r="4673" ht="18" customHeight="1"/>
    <row r="4674" ht="18" customHeight="1"/>
    <row r="4675" ht="18" customHeight="1"/>
    <row r="4676" ht="18" customHeight="1"/>
    <row r="4677" ht="18" customHeight="1"/>
    <row r="4678" ht="18" customHeight="1"/>
    <row r="4679" ht="18" customHeight="1"/>
    <row r="4680" ht="18" customHeight="1"/>
    <row r="4681" ht="18" customHeight="1"/>
    <row r="4682" ht="18" customHeight="1"/>
    <row r="4683" ht="18" customHeight="1"/>
    <row r="4684" ht="18" customHeight="1"/>
    <row r="4685" ht="18" customHeight="1"/>
    <row r="4686" ht="18" customHeight="1"/>
    <row r="4687" ht="18" customHeight="1"/>
    <row r="4688" ht="18" customHeight="1"/>
    <row r="4689" ht="18" customHeight="1"/>
    <row r="4690" ht="18" customHeight="1"/>
    <row r="4691" ht="18" customHeight="1"/>
    <row r="4692" ht="18" customHeight="1"/>
    <row r="4693" ht="18" customHeight="1"/>
    <row r="4694" ht="18" customHeight="1"/>
    <row r="4695" ht="18" customHeight="1"/>
    <row r="4696" ht="18" customHeight="1"/>
    <row r="4697" ht="18" customHeight="1"/>
    <row r="4698" ht="18" customHeight="1"/>
    <row r="4699" ht="18" customHeight="1"/>
    <row r="4700" ht="18" customHeight="1"/>
    <row r="4701" ht="18" customHeight="1"/>
    <row r="4702" ht="18" customHeight="1"/>
    <row r="4703" ht="18" customHeight="1"/>
    <row r="4704" ht="18" customHeight="1"/>
    <row r="4705" ht="18" customHeight="1"/>
    <row r="4706" ht="18" customHeight="1"/>
    <row r="4707" ht="18" customHeight="1"/>
    <row r="4708" ht="18" customHeight="1"/>
    <row r="4709" ht="18" customHeight="1"/>
    <row r="4710" ht="18" customHeight="1"/>
    <row r="4711" ht="18" customHeight="1"/>
    <row r="4712" ht="18" customHeight="1"/>
    <row r="4713" ht="18" customHeight="1"/>
    <row r="4714" ht="18" customHeight="1"/>
    <row r="4715" ht="18" customHeight="1"/>
    <row r="4716" ht="18" customHeight="1"/>
    <row r="4717" ht="18" customHeight="1"/>
    <row r="4718" ht="18" customHeight="1"/>
    <row r="4719" ht="18" customHeight="1"/>
    <row r="4720" ht="18" customHeight="1"/>
    <row r="4721" ht="18" customHeight="1"/>
    <row r="4722" ht="18" customHeight="1"/>
    <row r="4723" ht="18" customHeight="1"/>
    <row r="4724" ht="18" customHeight="1"/>
    <row r="4725" ht="18" customHeight="1"/>
    <row r="4726" ht="18" customHeight="1"/>
    <row r="4727" ht="18" customHeight="1"/>
    <row r="4728" ht="18" customHeight="1"/>
    <row r="4729" ht="18" customHeight="1"/>
    <row r="4730" ht="18" customHeight="1"/>
    <row r="4731" ht="18" customHeight="1"/>
    <row r="4732" ht="18" customHeight="1"/>
    <row r="4733" ht="18" customHeight="1"/>
    <row r="4734" ht="18" customHeight="1"/>
    <row r="4735" ht="18" customHeight="1"/>
    <row r="4736" ht="18" customHeight="1"/>
    <row r="4737" ht="18" customHeight="1"/>
    <row r="4738" ht="18" customHeight="1"/>
    <row r="4739" ht="18" customHeight="1"/>
    <row r="4740" ht="18" customHeight="1"/>
    <row r="4741" ht="18" customHeight="1"/>
    <row r="4742" ht="18" customHeight="1"/>
    <row r="4743" ht="18" customHeight="1"/>
    <row r="4744" ht="18" customHeight="1"/>
    <row r="4745" ht="18" customHeight="1"/>
    <row r="4746" ht="18" customHeight="1"/>
    <row r="4747" ht="18" customHeight="1"/>
    <row r="4748" ht="18" customHeight="1"/>
    <row r="4749" ht="18" customHeight="1"/>
    <row r="4750" ht="18" customHeight="1"/>
    <row r="4751" ht="18" customHeight="1"/>
    <row r="4752" ht="18" customHeight="1"/>
    <row r="4753" ht="18" customHeight="1"/>
    <row r="4754" ht="18" customHeight="1"/>
    <row r="4755" ht="18" customHeight="1"/>
    <row r="4756" ht="18" customHeight="1"/>
    <row r="4757" ht="18" customHeight="1"/>
    <row r="4758" ht="18" customHeight="1"/>
    <row r="4759" ht="18" customHeight="1"/>
    <row r="4760" ht="18" customHeight="1"/>
    <row r="4761" ht="18" customHeight="1"/>
    <row r="4762" ht="18" customHeight="1"/>
    <row r="4763" ht="18" customHeight="1"/>
    <row r="4764" ht="18" customHeight="1"/>
    <row r="4765" ht="18" customHeight="1"/>
    <row r="4766" ht="18" customHeight="1"/>
    <row r="4767" ht="18" customHeight="1"/>
    <row r="4768" ht="18" customHeight="1"/>
    <row r="4769" ht="18" customHeight="1"/>
    <row r="4770" ht="18" customHeight="1"/>
    <row r="4771" ht="18" customHeight="1"/>
    <row r="4772" ht="18" customHeight="1"/>
    <row r="4773" ht="18" customHeight="1"/>
    <row r="4774" ht="18" customHeight="1"/>
    <row r="4775" ht="18" customHeight="1"/>
    <row r="4776" ht="18" customHeight="1"/>
    <row r="4777" ht="18" customHeight="1"/>
    <row r="4778" ht="18" customHeight="1"/>
    <row r="4779" ht="18" customHeight="1"/>
    <row r="4780" ht="18" customHeight="1"/>
    <row r="4781" ht="18" customHeight="1"/>
    <row r="4782" ht="18" customHeight="1"/>
    <row r="4783" ht="18" customHeight="1"/>
    <row r="4784" ht="18" customHeight="1"/>
    <row r="4785" ht="18" customHeight="1"/>
    <row r="4786" ht="18" customHeight="1"/>
    <row r="4787" ht="18" customHeight="1"/>
    <row r="4788" ht="18" customHeight="1"/>
    <row r="4789" ht="18" customHeight="1"/>
    <row r="4790" ht="18" customHeight="1"/>
    <row r="4791" ht="18" customHeight="1"/>
    <row r="4792" ht="18" customHeight="1"/>
    <row r="4793" ht="18" customHeight="1"/>
    <row r="4794" ht="18" customHeight="1"/>
    <row r="4795" ht="18" customHeight="1"/>
    <row r="4796" ht="18" customHeight="1"/>
    <row r="4797" ht="18" customHeight="1"/>
    <row r="4798" ht="18" customHeight="1"/>
    <row r="4799" ht="18" customHeight="1"/>
    <row r="4800" ht="18" customHeight="1"/>
    <row r="4801" ht="18" customHeight="1"/>
    <row r="4802" ht="18" customHeight="1"/>
    <row r="4803" ht="18" customHeight="1"/>
    <row r="4804" ht="18" customHeight="1"/>
    <row r="4805" ht="18" customHeight="1"/>
    <row r="4806" ht="18" customHeight="1"/>
    <row r="4807" ht="18" customHeight="1"/>
    <row r="4808" ht="18" customHeight="1"/>
    <row r="4809" ht="18" customHeight="1"/>
    <row r="4810" ht="18" customHeight="1"/>
    <row r="4811" ht="18" customHeight="1"/>
    <row r="4812" ht="18" customHeight="1"/>
    <row r="4813" ht="18" customHeight="1"/>
    <row r="4814" ht="18" customHeight="1"/>
    <row r="4815" ht="18" customHeight="1"/>
    <row r="4816" ht="18" customHeight="1"/>
    <row r="4817" ht="18" customHeight="1"/>
    <row r="4818" ht="18" customHeight="1"/>
    <row r="4819" ht="18" customHeight="1"/>
    <row r="4820" ht="18" customHeight="1"/>
    <row r="4821" ht="18" customHeight="1"/>
    <row r="4822" ht="18" customHeight="1"/>
    <row r="4823" ht="18" customHeight="1"/>
    <row r="4824" ht="18" customHeight="1"/>
    <row r="4825" ht="18" customHeight="1"/>
    <row r="4826" ht="18" customHeight="1"/>
    <row r="4827" ht="18" customHeight="1"/>
    <row r="4828" ht="18" customHeight="1"/>
    <row r="4829" ht="18" customHeight="1"/>
    <row r="4830" ht="18" customHeight="1"/>
    <row r="4831" ht="18" customHeight="1"/>
    <row r="4832" ht="18" customHeight="1"/>
    <row r="4833" ht="18" customHeight="1"/>
    <row r="4834" ht="18" customHeight="1"/>
    <row r="4835" ht="18" customHeight="1"/>
    <row r="4836" ht="18" customHeight="1"/>
    <row r="4837" ht="18" customHeight="1"/>
    <row r="4838" ht="18" customHeight="1"/>
    <row r="4839" ht="18" customHeight="1"/>
    <row r="4840" ht="18" customHeight="1"/>
    <row r="4841" ht="18" customHeight="1"/>
    <row r="4842" ht="18" customHeight="1"/>
    <row r="4843" ht="18" customHeight="1"/>
    <row r="4844" ht="18" customHeight="1"/>
    <row r="4845" ht="18" customHeight="1"/>
    <row r="4846" ht="18" customHeight="1"/>
    <row r="4847" ht="18" customHeight="1"/>
    <row r="4848" ht="18" customHeight="1"/>
    <row r="4849" ht="18" customHeight="1"/>
    <row r="4850" ht="18" customHeight="1"/>
    <row r="4851" ht="18" customHeight="1"/>
    <row r="4852" ht="18" customHeight="1"/>
    <row r="4853" ht="18" customHeight="1"/>
    <row r="4854" ht="18" customHeight="1"/>
    <row r="4855" ht="18" customHeight="1"/>
    <row r="4856" ht="18" customHeight="1"/>
    <row r="4857" ht="18" customHeight="1"/>
    <row r="4858" ht="18" customHeight="1"/>
    <row r="4859" ht="18" customHeight="1"/>
    <row r="4860" ht="18" customHeight="1"/>
    <row r="4861" ht="18" customHeight="1"/>
    <row r="4862" ht="18" customHeight="1"/>
    <row r="4863" ht="18" customHeight="1"/>
    <row r="4864" ht="18" customHeight="1"/>
    <row r="4865" ht="18" customHeight="1"/>
    <row r="4866" ht="18" customHeight="1"/>
    <row r="4867" ht="18" customHeight="1"/>
    <row r="4868" ht="18" customHeight="1"/>
    <row r="4869" ht="18" customHeight="1"/>
    <row r="4870" ht="18" customHeight="1"/>
    <row r="4871" ht="18" customHeight="1"/>
    <row r="4872" ht="18" customHeight="1"/>
    <row r="4873" ht="18" customHeight="1"/>
    <row r="4874" ht="18" customHeight="1"/>
    <row r="4875" ht="18" customHeight="1"/>
    <row r="4876" ht="18" customHeight="1"/>
    <row r="4877" ht="18" customHeight="1"/>
    <row r="4878" ht="18" customHeight="1"/>
    <row r="4879" ht="18" customHeight="1"/>
    <row r="4880" ht="18" customHeight="1"/>
    <row r="4881" ht="18" customHeight="1"/>
    <row r="4882" ht="18" customHeight="1"/>
    <row r="4883" ht="18" customHeight="1"/>
    <row r="4884" ht="18" customHeight="1"/>
    <row r="4885" ht="18" customHeight="1"/>
    <row r="4886" ht="18" customHeight="1"/>
    <row r="4887" ht="18" customHeight="1"/>
    <row r="4888" ht="18" customHeight="1"/>
    <row r="4889" ht="18" customHeight="1"/>
    <row r="4890" ht="18" customHeight="1"/>
    <row r="4891" ht="18" customHeight="1"/>
    <row r="4892" ht="18" customHeight="1"/>
    <row r="4893" ht="18" customHeight="1"/>
    <row r="4894" ht="18" customHeight="1"/>
    <row r="4895" ht="18" customHeight="1"/>
    <row r="4896" ht="18" customHeight="1"/>
    <row r="4897" ht="18" customHeight="1"/>
    <row r="4898" ht="18" customHeight="1"/>
    <row r="4899" ht="18" customHeight="1"/>
    <row r="4900" ht="18" customHeight="1"/>
    <row r="4901" ht="18" customHeight="1"/>
    <row r="4902" ht="18" customHeight="1"/>
    <row r="4903" ht="18" customHeight="1"/>
    <row r="4904" ht="18" customHeight="1"/>
    <row r="4905" ht="18" customHeight="1"/>
    <row r="4906" ht="18" customHeight="1"/>
    <row r="4907" ht="18" customHeight="1"/>
    <row r="4908" ht="18" customHeight="1"/>
    <row r="4909" ht="18" customHeight="1"/>
    <row r="4910" ht="18" customHeight="1"/>
    <row r="4911" ht="18" customHeight="1"/>
    <row r="4912" ht="18" customHeight="1"/>
    <row r="4913" ht="18" customHeight="1"/>
    <row r="4914" ht="18" customHeight="1"/>
    <row r="4915" ht="18" customHeight="1"/>
    <row r="4916" ht="18" customHeight="1"/>
    <row r="4917" ht="18" customHeight="1"/>
    <row r="4918" ht="18" customHeight="1"/>
    <row r="4919" ht="18" customHeight="1"/>
    <row r="4920" ht="18" customHeight="1"/>
    <row r="4921" ht="18" customHeight="1"/>
    <row r="4922" ht="18" customHeight="1"/>
    <row r="4923" ht="18" customHeight="1"/>
    <row r="4924" ht="18" customHeight="1"/>
    <row r="4925" ht="18" customHeight="1"/>
    <row r="4926" ht="18" customHeight="1"/>
    <row r="4927" ht="18" customHeight="1"/>
    <row r="4928" ht="18" customHeight="1"/>
    <row r="4929" ht="18" customHeight="1"/>
    <row r="4930" ht="18" customHeight="1"/>
    <row r="4931" ht="18" customHeight="1"/>
    <row r="4932" ht="18" customHeight="1"/>
    <row r="4933" ht="18" customHeight="1"/>
    <row r="4934" ht="18" customHeight="1"/>
    <row r="4935" ht="18" customHeight="1"/>
    <row r="4936" ht="18" customHeight="1"/>
    <row r="4937" ht="18" customHeight="1"/>
    <row r="4938" ht="18" customHeight="1"/>
    <row r="4939" ht="18" customHeight="1"/>
    <row r="4940" ht="18" customHeight="1"/>
    <row r="4941" ht="18" customHeight="1"/>
    <row r="4942" ht="18" customHeight="1"/>
    <row r="4943" ht="18" customHeight="1"/>
    <row r="4944" ht="18" customHeight="1"/>
    <row r="4945" ht="18" customHeight="1"/>
    <row r="4946" ht="18" customHeight="1"/>
    <row r="4947" ht="18" customHeight="1"/>
    <row r="4948" ht="18" customHeight="1"/>
    <row r="4949" ht="18" customHeight="1"/>
    <row r="4950" ht="18" customHeight="1"/>
    <row r="4951" ht="18" customHeight="1"/>
    <row r="4952" ht="18" customHeight="1"/>
    <row r="4953" ht="18" customHeight="1"/>
    <row r="4954" ht="18" customHeight="1"/>
    <row r="4955" ht="18" customHeight="1"/>
    <row r="4956" ht="18" customHeight="1"/>
    <row r="4957" ht="18" customHeight="1"/>
    <row r="4958" ht="18" customHeight="1"/>
    <row r="4959" ht="18" customHeight="1"/>
    <row r="4960" ht="18" customHeight="1"/>
    <row r="4961" ht="18" customHeight="1"/>
    <row r="4962" ht="18" customHeight="1"/>
    <row r="4963" ht="18" customHeight="1"/>
    <row r="4964" ht="18" customHeight="1"/>
    <row r="4965" ht="18" customHeight="1"/>
    <row r="4966" ht="18" customHeight="1"/>
    <row r="4967" ht="18" customHeight="1"/>
    <row r="4968" ht="18" customHeight="1"/>
    <row r="4969" ht="18" customHeight="1"/>
    <row r="4970" ht="18" customHeight="1"/>
    <row r="4971" ht="18" customHeight="1"/>
    <row r="4972" ht="18" customHeight="1"/>
    <row r="4973" ht="18" customHeight="1"/>
    <row r="4974" ht="18" customHeight="1"/>
    <row r="4975" ht="18" customHeight="1"/>
    <row r="4976" ht="18" customHeight="1"/>
    <row r="4977" ht="18" customHeight="1"/>
    <row r="4978" ht="18" customHeight="1"/>
    <row r="4979" ht="18" customHeight="1"/>
    <row r="4980" ht="18" customHeight="1"/>
    <row r="4981" ht="18" customHeight="1"/>
    <row r="4982" ht="18" customHeight="1"/>
    <row r="4983" ht="18" customHeight="1"/>
    <row r="4984" ht="18" customHeight="1"/>
    <row r="4985" ht="18" customHeight="1"/>
    <row r="4986" ht="18" customHeight="1"/>
    <row r="4987" ht="18" customHeight="1"/>
    <row r="4988" ht="18" customHeight="1"/>
    <row r="4989" ht="18" customHeight="1"/>
    <row r="4990" ht="18" customHeight="1"/>
    <row r="4991" ht="18" customHeight="1"/>
    <row r="4992" ht="18" customHeight="1"/>
    <row r="4993" ht="18" customHeight="1"/>
    <row r="4994" ht="18" customHeight="1"/>
    <row r="4995" ht="18" customHeight="1"/>
    <row r="4996" ht="18" customHeight="1"/>
    <row r="4997" ht="18" customHeight="1"/>
    <row r="4998" ht="18" customHeight="1"/>
    <row r="4999" ht="18" customHeight="1"/>
    <row r="5000" ht="18" customHeight="1"/>
    <row r="5001" ht="18" customHeight="1"/>
    <row r="5002" ht="18" customHeight="1"/>
    <row r="5003" ht="18" customHeight="1"/>
    <row r="5004" ht="18" customHeight="1"/>
    <row r="5005" ht="18" customHeight="1"/>
    <row r="5006" ht="18" customHeight="1"/>
    <row r="5007" ht="18" customHeight="1"/>
    <row r="5008" ht="18" customHeight="1"/>
    <row r="5009" ht="18" customHeight="1"/>
    <row r="5010" ht="18" customHeight="1"/>
    <row r="5011" ht="18" customHeight="1"/>
    <row r="5012" ht="18" customHeight="1"/>
    <row r="5013" ht="18" customHeight="1"/>
    <row r="5014" ht="18" customHeight="1"/>
    <row r="5015" ht="18" customHeight="1"/>
    <row r="5016" ht="18" customHeight="1"/>
    <row r="5017" ht="18" customHeight="1"/>
    <row r="5018" ht="18" customHeight="1"/>
    <row r="5019" ht="18" customHeight="1"/>
    <row r="5020" ht="18" customHeight="1"/>
    <row r="5021" ht="18" customHeight="1"/>
    <row r="5022" ht="18" customHeight="1"/>
    <row r="5023" ht="18" customHeight="1"/>
    <row r="5024" ht="18" customHeight="1"/>
    <row r="5025" ht="18" customHeight="1"/>
    <row r="5026" ht="18" customHeight="1"/>
    <row r="5027" ht="18" customHeight="1"/>
    <row r="5028" ht="18" customHeight="1"/>
    <row r="5029" ht="18" customHeight="1"/>
    <row r="5030" ht="18" customHeight="1"/>
    <row r="5031" ht="18" customHeight="1"/>
    <row r="5032" ht="18" customHeight="1"/>
    <row r="5033" ht="18" customHeight="1"/>
    <row r="5034" ht="18" customHeight="1"/>
    <row r="5035" ht="18" customHeight="1"/>
    <row r="5036" ht="18" customHeight="1"/>
    <row r="5037" ht="18" customHeight="1"/>
    <row r="5038" ht="18" customHeight="1"/>
    <row r="5039" ht="18" customHeight="1"/>
    <row r="5040" ht="18" customHeight="1"/>
    <row r="5041" ht="18" customHeight="1"/>
    <row r="5042" ht="18" customHeight="1"/>
    <row r="5043" ht="18" customHeight="1"/>
    <row r="5044" ht="18" customHeight="1"/>
    <row r="5045" ht="18" customHeight="1"/>
    <row r="5046" ht="18" customHeight="1"/>
    <row r="5047" ht="18" customHeight="1"/>
    <row r="5048" ht="18" customHeight="1"/>
    <row r="5049" ht="18" customHeight="1"/>
    <row r="5050" ht="18" customHeight="1"/>
    <row r="5051" ht="18" customHeight="1"/>
    <row r="5052" ht="18" customHeight="1"/>
    <row r="5053" ht="18" customHeight="1"/>
    <row r="5054" ht="18" customHeight="1"/>
    <row r="5055" ht="18" customHeight="1"/>
    <row r="5056" ht="18" customHeight="1"/>
    <row r="5057" ht="18" customHeight="1"/>
    <row r="5058" ht="18" customHeight="1"/>
    <row r="5059" ht="18" customHeight="1"/>
    <row r="5060" ht="18" customHeight="1"/>
    <row r="5061" ht="18" customHeight="1"/>
    <row r="5062" ht="18" customHeight="1"/>
    <row r="5063" ht="18" customHeight="1"/>
    <row r="5064" ht="18" customHeight="1"/>
    <row r="5065" ht="18" customHeight="1"/>
    <row r="5066" ht="18" customHeight="1"/>
    <row r="5067" ht="18" customHeight="1"/>
    <row r="5068" ht="18" customHeight="1"/>
    <row r="5069" ht="18" customHeight="1"/>
    <row r="5070" ht="18" customHeight="1"/>
    <row r="5071" ht="18" customHeight="1"/>
    <row r="5072" ht="18" customHeight="1"/>
    <row r="5073" ht="18" customHeight="1"/>
    <row r="5074" ht="18" customHeight="1"/>
    <row r="5075" ht="18" customHeight="1"/>
    <row r="5076" ht="18" customHeight="1"/>
    <row r="5077" ht="18" customHeight="1"/>
    <row r="5078" ht="18" customHeight="1"/>
    <row r="5079" ht="18" customHeight="1"/>
    <row r="5080" ht="18" customHeight="1"/>
    <row r="5081" ht="18" customHeight="1"/>
    <row r="5082" ht="18" customHeight="1"/>
    <row r="5083" ht="18" customHeight="1"/>
    <row r="5084" ht="18" customHeight="1"/>
    <row r="5085" ht="18" customHeight="1"/>
    <row r="5086" ht="18" customHeight="1"/>
    <row r="5087" ht="18" customHeight="1"/>
    <row r="5088" ht="18" customHeight="1"/>
    <row r="5089" ht="18" customHeight="1"/>
    <row r="5090" ht="18" customHeight="1"/>
    <row r="5091" ht="18" customHeight="1"/>
    <row r="5092" ht="18" customHeight="1"/>
    <row r="5093" ht="18" customHeight="1"/>
    <row r="5094" ht="18" customHeight="1"/>
    <row r="5095" ht="18" customHeight="1"/>
    <row r="5096" ht="18" customHeight="1"/>
    <row r="5097" ht="18" customHeight="1"/>
    <row r="5098" ht="18" customHeight="1"/>
    <row r="5099" ht="18" customHeight="1"/>
    <row r="5100" ht="18" customHeight="1"/>
    <row r="5101" ht="18" customHeight="1"/>
    <row r="5102" ht="18" customHeight="1"/>
    <row r="5103" ht="18" customHeight="1"/>
    <row r="5104" ht="18" customHeight="1"/>
    <row r="5105" ht="18" customHeight="1"/>
    <row r="5106" ht="18" customHeight="1"/>
    <row r="5107" ht="18" customHeight="1"/>
    <row r="5108" ht="18" customHeight="1"/>
    <row r="5109" ht="18" customHeight="1"/>
    <row r="5110" ht="18" customHeight="1"/>
    <row r="5111" ht="18" customHeight="1"/>
    <row r="5112" ht="18" customHeight="1"/>
    <row r="5113" ht="18" customHeight="1"/>
    <row r="5114" ht="18" customHeight="1"/>
    <row r="5115" ht="18" customHeight="1"/>
    <row r="5116" ht="18" customHeight="1"/>
    <row r="5117" ht="18" customHeight="1"/>
    <row r="5118" ht="18" customHeight="1"/>
    <row r="5119" ht="18" customHeight="1"/>
    <row r="5120" ht="18" customHeight="1"/>
    <row r="5121" ht="18" customHeight="1"/>
    <row r="5122" ht="18" customHeight="1"/>
    <row r="5123" ht="18" customHeight="1"/>
    <row r="5124" ht="18" customHeight="1"/>
    <row r="5125" ht="18" customHeight="1"/>
    <row r="5126" ht="18" customHeight="1"/>
    <row r="5127" ht="18" customHeight="1"/>
    <row r="5128" ht="18" customHeight="1"/>
    <row r="5129" ht="18" customHeight="1"/>
    <row r="5130" ht="18" customHeight="1"/>
    <row r="5131" ht="18" customHeight="1"/>
    <row r="5132" ht="18" customHeight="1"/>
    <row r="5133" ht="18" customHeight="1"/>
    <row r="5134" ht="18" customHeight="1"/>
    <row r="5135" ht="18" customHeight="1"/>
    <row r="5136" ht="18" customHeight="1"/>
    <row r="5137" ht="18" customHeight="1"/>
    <row r="5138" ht="18" customHeight="1"/>
    <row r="5139" ht="18" customHeight="1"/>
    <row r="5140" ht="18" customHeight="1"/>
    <row r="5141" ht="18" customHeight="1"/>
    <row r="5142" ht="18" customHeight="1"/>
    <row r="5143" ht="18" customHeight="1"/>
    <row r="5144" ht="18" customHeight="1"/>
    <row r="5145" ht="18" customHeight="1"/>
    <row r="5146" ht="18" customHeight="1"/>
    <row r="5147" ht="18" customHeight="1"/>
    <row r="5148" ht="18" customHeight="1"/>
    <row r="5149" ht="18" customHeight="1"/>
    <row r="5150" ht="18" customHeight="1"/>
    <row r="5151" ht="18" customHeight="1"/>
    <row r="5152" ht="18" customHeight="1"/>
    <row r="5153" ht="18" customHeight="1"/>
    <row r="5154" ht="18" customHeight="1"/>
    <row r="5155" ht="18" customHeight="1"/>
    <row r="5156" ht="18" customHeight="1"/>
    <row r="5157" ht="18" customHeight="1"/>
    <row r="5158" ht="18" customHeight="1"/>
    <row r="5159" ht="18" customHeight="1"/>
    <row r="5160" ht="18" customHeight="1"/>
    <row r="5161" ht="18" customHeight="1"/>
    <row r="5162" ht="18" customHeight="1"/>
    <row r="5163" ht="18" customHeight="1"/>
    <row r="5164" ht="18" customHeight="1"/>
    <row r="5165" ht="18" customHeight="1"/>
    <row r="5166" ht="18" customHeight="1"/>
    <row r="5167" ht="18" customHeight="1"/>
    <row r="5168" ht="18" customHeight="1"/>
    <row r="5169" ht="18" customHeight="1"/>
    <row r="5170" ht="18" customHeight="1"/>
    <row r="5171" ht="18" customHeight="1"/>
    <row r="5172" ht="18" customHeight="1"/>
    <row r="5173" ht="18" customHeight="1"/>
    <row r="5174" ht="18" customHeight="1"/>
    <row r="5175" ht="18" customHeight="1"/>
    <row r="5176" ht="18" customHeight="1"/>
    <row r="5177" ht="18" customHeight="1"/>
    <row r="5178" ht="18" customHeight="1"/>
    <row r="5179" ht="18" customHeight="1"/>
    <row r="5180" ht="18" customHeight="1"/>
    <row r="5181" ht="18" customHeight="1"/>
    <row r="5182" ht="18" customHeight="1"/>
    <row r="5183" ht="18" customHeight="1"/>
    <row r="5184" ht="18" customHeight="1"/>
    <row r="5185" ht="18" customHeight="1"/>
    <row r="5186" ht="18" customHeight="1"/>
    <row r="5187" ht="18" customHeight="1"/>
    <row r="5188" ht="18" customHeight="1"/>
    <row r="5189" ht="18" customHeight="1"/>
    <row r="5190" ht="18" customHeight="1"/>
    <row r="5191" ht="18" customHeight="1"/>
    <row r="5192" ht="18" customHeight="1"/>
    <row r="5193" ht="18" customHeight="1"/>
    <row r="5194" ht="18" customHeight="1"/>
    <row r="5195" ht="18" customHeight="1"/>
    <row r="5196" ht="18" customHeight="1"/>
    <row r="5197" ht="18" customHeight="1"/>
    <row r="5198" ht="18" customHeight="1"/>
    <row r="5199" ht="18" customHeight="1"/>
    <row r="5200" ht="18" customHeight="1"/>
    <row r="5201" ht="18" customHeight="1"/>
    <row r="5202" ht="18" customHeight="1"/>
    <row r="5203" ht="18" customHeight="1"/>
    <row r="5204" ht="18" customHeight="1"/>
    <row r="5205" ht="18" customHeight="1"/>
    <row r="5206" ht="18" customHeight="1"/>
    <row r="5207" ht="18" customHeight="1"/>
    <row r="5208" ht="18" customHeight="1"/>
    <row r="5209" ht="18" customHeight="1"/>
    <row r="5210" ht="18" customHeight="1"/>
    <row r="5211" ht="18" customHeight="1"/>
    <row r="5212" ht="18" customHeight="1"/>
    <row r="5213" ht="18" customHeight="1"/>
    <row r="5214" ht="18" customHeight="1"/>
    <row r="5215" ht="18" customHeight="1"/>
    <row r="5216" ht="18" customHeight="1"/>
    <row r="5217" ht="18" customHeight="1"/>
    <row r="5218" ht="18" customHeight="1"/>
    <row r="5219" ht="18" customHeight="1"/>
    <row r="5220" ht="18" customHeight="1"/>
    <row r="5221" ht="18" customHeight="1"/>
    <row r="5222" ht="18" customHeight="1"/>
    <row r="5223" ht="18" customHeight="1"/>
    <row r="5224" ht="18" customHeight="1"/>
    <row r="5225" ht="18" customHeight="1"/>
    <row r="5226" ht="18" customHeight="1"/>
    <row r="5227" ht="18" customHeight="1"/>
    <row r="5228" ht="18" customHeight="1"/>
    <row r="5229" ht="18" customHeight="1"/>
    <row r="5230" ht="18" customHeight="1"/>
    <row r="5231" ht="18" customHeight="1"/>
    <row r="5232" ht="18" customHeight="1"/>
    <row r="5233" ht="18" customHeight="1"/>
    <row r="5234" ht="18" customHeight="1"/>
    <row r="5235" ht="18" customHeight="1"/>
    <row r="5236" ht="18" customHeight="1"/>
    <row r="5237" ht="18" customHeight="1"/>
    <row r="5238" ht="18" customHeight="1"/>
    <row r="5239" ht="18" customHeight="1"/>
    <row r="5240" ht="18" customHeight="1"/>
    <row r="5241" ht="18" customHeight="1"/>
    <row r="5242" ht="18" customHeight="1"/>
    <row r="5243" ht="18" customHeight="1"/>
    <row r="5244" ht="18" customHeight="1"/>
    <row r="5245" ht="18" customHeight="1"/>
    <row r="5246" ht="18" customHeight="1"/>
    <row r="5247" ht="18" customHeight="1"/>
    <row r="5248" ht="18" customHeight="1"/>
    <row r="5249" ht="18" customHeight="1"/>
    <row r="5250" ht="18" customHeight="1"/>
    <row r="5251" ht="18" customHeight="1"/>
    <row r="5252" ht="18" customHeight="1"/>
    <row r="5253" ht="18" customHeight="1"/>
    <row r="5254" ht="18" customHeight="1"/>
    <row r="5255" ht="18" customHeight="1"/>
    <row r="5256" ht="18" customHeight="1"/>
    <row r="5257" ht="18" customHeight="1"/>
    <row r="5258" ht="18" customHeight="1"/>
    <row r="5259" ht="18" customHeight="1"/>
    <row r="5260" ht="18" customHeight="1"/>
    <row r="5261" ht="18" customHeight="1"/>
    <row r="5262" ht="18" customHeight="1"/>
    <row r="5263" ht="18" customHeight="1"/>
    <row r="5264" ht="18" customHeight="1"/>
    <row r="5265" ht="18" customHeight="1"/>
    <row r="5266" ht="18" customHeight="1"/>
    <row r="5267" ht="18" customHeight="1"/>
    <row r="5268" ht="18" customHeight="1"/>
    <row r="5269" ht="18" customHeight="1"/>
    <row r="5270" ht="18" customHeight="1"/>
    <row r="5271" ht="18" customHeight="1"/>
    <row r="5272" ht="18" customHeight="1"/>
    <row r="5273" ht="18" customHeight="1"/>
    <row r="5274" ht="18" customHeight="1"/>
    <row r="5275" ht="18" customHeight="1"/>
    <row r="5276" ht="18" customHeight="1"/>
    <row r="5277" ht="18" customHeight="1"/>
    <row r="5278" ht="18" customHeight="1"/>
    <row r="5279" ht="18" customHeight="1"/>
    <row r="5280" ht="18" customHeight="1"/>
    <row r="5281" ht="18" customHeight="1"/>
    <row r="5282" ht="18" customHeight="1"/>
    <row r="5283" ht="18" customHeight="1"/>
    <row r="5284" ht="18" customHeight="1"/>
    <row r="5285" ht="18" customHeight="1"/>
    <row r="5286" ht="18" customHeight="1"/>
    <row r="5287" ht="18" customHeight="1"/>
    <row r="5288" ht="18" customHeight="1"/>
    <row r="5289" ht="18" customHeight="1"/>
    <row r="5290" ht="18" customHeight="1"/>
    <row r="5291" ht="18" customHeight="1"/>
    <row r="5292" ht="18" customHeight="1"/>
    <row r="5293" ht="18" customHeight="1"/>
    <row r="5294" ht="18" customHeight="1"/>
    <row r="5295" ht="18" customHeight="1"/>
    <row r="5296" ht="18" customHeight="1"/>
    <row r="5297" ht="18" customHeight="1"/>
    <row r="5298" ht="18" customHeight="1"/>
    <row r="5299" ht="18" customHeight="1"/>
    <row r="5300" ht="18" customHeight="1"/>
    <row r="5301" ht="18" customHeight="1"/>
    <row r="5302" ht="18" customHeight="1"/>
    <row r="5303" ht="18" customHeight="1"/>
    <row r="5304" ht="18" customHeight="1"/>
    <row r="5305" ht="18" customHeight="1"/>
    <row r="5306" ht="18" customHeight="1"/>
    <row r="5307" ht="18" customHeight="1"/>
    <row r="5308" ht="18" customHeight="1"/>
    <row r="5309" ht="18" customHeight="1"/>
    <row r="5310" ht="18" customHeight="1"/>
    <row r="5311" ht="18" customHeight="1"/>
    <row r="5312" ht="18" customHeight="1"/>
    <row r="5313" ht="18" customHeight="1"/>
    <row r="5314" ht="18" customHeight="1"/>
    <row r="5315" ht="18" customHeight="1"/>
    <row r="5316" ht="18" customHeight="1"/>
    <row r="5317" ht="18" customHeight="1"/>
    <row r="5318" ht="18" customHeight="1"/>
    <row r="5319" ht="18" customHeight="1"/>
    <row r="5320" ht="18" customHeight="1"/>
    <row r="5321" ht="18" customHeight="1"/>
    <row r="5322" ht="18" customHeight="1"/>
    <row r="5323" ht="18" customHeight="1"/>
    <row r="5324" ht="18" customHeight="1"/>
    <row r="5325" ht="18" customHeight="1"/>
    <row r="5326" ht="18" customHeight="1"/>
    <row r="5327" ht="18" customHeight="1"/>
    <row r="5328" ht="18" customHeight="1"/>
    <row r="5329" ht="18" customHeight="1"/>
    <row r="5330" ht="18" customHeight="1"/>
    <row r="5331" ht="18" customHeight="1"/>
    <row r="5332" ht="18" customHeight="1"/>
    <row r="5333" ht="18" customHeight="1"/>
    <row r="5334" ht="18" customHeight="1"/>
    <row r="5335" ht="18" customHeight="1"/>
    <row r="5336" ht="18" customHeight="1"/>
    <row r="5337" ht="18" customHeight="1"/>
    <row r="5338" ht="18" customHeight="1"/>
    <row r="5339" ht="18" customHeight="1"/>
    <row r="5340" ht="18" customHeight="1"/>
    <row r="5341" ht="18" customHeight="1"/>
    <row r="5342" ht="18" customHeight="1"/>
    <row r="5343" ht="18" customHeight="1"/>
    <row r="5344" ht="18" customHeight="1"/>
    <row r="5345" ht="18" customHeight="1"/>
    <row r="5346" ht="18" customHeight="1"/>
    <row r="5347" ht="18" customHeight="1"/>
    <row r="5348" ht="18" customHeight="1"/>
    <row r="5349" ht="18" customHeight="1"/>
    <row r="5350" ht="18" customHeight="1"/>
    <row r="5351" ht="18" customHeight="1"/>
    <row r="5352" ht="18" customHeight="1"/>
    <row r="5353" ht="18" customHeight="1"/>
    <row r="5354" ht="18" customHeight="1"/>
    <row r="5355" ht="18" customHeight="1"/>
    <row r="5356" ht="18" customHeight="1"/>
    <row r="5357" ht="18" customHeight="1"/>
    <row r="5358" ht="18" customHeight="1"/>
    <row r="5359" ht="18" customHeight="1"/>
    <row r="5360" ht="18" customHeight="1"/>
    <row r="5361" ht="18" customHeight="1"/>
    <row r="5362" ht="18" customHeight="1"/>
    <row r="5363" ht="18" customHeight="1"/>
    <row r="5364" ht="18" customHeight="1"/>
    <row r="5365" ht="18" customHeight="1"/>
    <row r="5366" ht="18" customHeight="1"/>
    <row r="5367" ht="18" customHeight="1"/>
    <row r="5368" ht="18" customHeight="1"/>
    <row r="5369" ht="18" customHeight="1"/>
    <row r="5370" ht="18" customHeight="1"/>
    <row r="5371" ht="18" customHeight="1"/>
    <row r="5372" ht="18" customHeight="1"/>
    <row r="5373" ht="18" customHeight="1"/>
    <row r="5374" ht="18" customHeight="1"/>
    <row r="5375" ht="18" customHeight="1"/>
    <row r="5376" ht="18" customHeight="1"/>
    <row r="5377" ht="18" customHeight="1"/>
    <row r="5378" ht="18" customHeight="1"/>
    <row r="5379" ht="18" customHeight="1"/>
    <row r="5380" ht="18" customHeight="1"/>
    <row r="5381" ht="18" customHeight="1"/>
    <row r="5382" ht="18" customHeight="1"/>
    <row r="5383" ht="18" customHeight="1"/>
    <row r="5384" ht="18" customHeight="1"/>
    <row r="5385" ht="18" customHeight="1"/>
    <row r="5386" ht="18" customHeight="1"/>
    <row r="5387" ht="18" customHeight="1"/>
    <row r="5388" ht="18" customHeight="1"/>
    <row r="5389" ht="18" customHeight="1"/>
    <row r="5390" ht="18" customHeight="1"/>
    <row r="5391" ht="18" customHeight="1"/>
    <row r="5392" ht="18" customHeight="1"/>
    <row r="5393" ht="18" customHeight="1"/>
    <row r="5394" ht="18" customHeight="1"/>
    <row r="5395" ht="18" customHeight="1"/>
    <row r="5396" ht="18" customHeight="1"/>
    <row r="5397" ht="18" customHeight="1"/>
    <row r="5398" ht="18" customHeight="1"/>
    <row r="5399" ht="18" customHeight="1"/>
    <row r="5400" ht="18" customHeight="1"/>
    <row r="5401" ht="18" customHeight="1"/>
    <row r="5402" ht="18" customHeight="1"/>
    <row r="5403" ht="18" customHeight="1"/>
    <row r="5404" ht="18" customHeight="1"/>
    <row r="5405" ht="18" customHeight="1"/>
    <row r="5406" ht="18" customHeight="1"/>
    <row r="5407" ht="18" customHeight="1"/>
    <row r="5408" ht="18" customHeight="1"/>
    <row r="5409" ht="18" customHeight="1"/>
    <row r="5410" ht="18" customHeight="1"/>
    <row r="5411" ht="18" customHeight="1"/>
    <row r="5412" ht="18" customHeight="1"/>
    <row r="5413" ht="18" customHeight="1"/>
    <row r="5414" ht="18" customHeight="1"/>
    <row r="5415" ht="18" customHeight="1"/>
    <row r="5416" ht="18" customHeight="1"/>
    <row r="5417" ht="18" customHeight="1"/>
    <row r="5418" ht="18" customHeight="1"/>
    <row r="5419" ht="18" customHeight="1"/>
    <row r="5420" ht="18" customHeight="1"/>
    <row r="5421" ht="18" customHeight="1"/>
    <row r="5422" ht="18" customHeight="1"/>
    <row r="5423" ht="18" customHeight="1"/>
    <row r="5424" ht="18" customHeight="1"/>
    <row r="5425" ht="18" customHeight="1"/>
    <row r="5426" ht="18" customHeight="1"/>
    <row r="5427" ht="18" customHeight="1"/>
    <row r="5428" ht="18" customHeight="1"/>
    <row r="5429" ht="18" customHeight="1"/>
    <row r="5430" ht="18" customHeight="1"/>
    <row r="5431" ht="18" customHeight="1"/>
    <row r="5432" ht="18" customHeight="1"/>
    <row r="5433" ht="18" customHeight="1"/>
    <row r="5434" ht="18" customHeight="1"/>
    <row r="5435" ht="18" customHeight="1"/>
    <row r="5436" ht="18" customHeight="1"/>
    <row r="5437" ht="18" customHeight="1"/>
    <row r="5438" ht="18" customHeight="1"/>
    <row r="5439" ht="18" customHeight="1"/>
    <row r="5440" ht="18" customHeight="1"/>
    <row r="5441" ht="18" customHeight="1"/>
    <row r="5442" ht="18" customHeight="1"/>
    <row r="5443" ht="18" customHeight="1"/>
    <row r="5444" ht="18" customHeight="1"/>
    <row r="5445" ht="18" customHeight="1"/>
    <row r="5446" ht="18" customHeight="1"/>
    <row r="5447" ht="18" customHeight="1"/>
    <row r="5448" ht="18" customHeight="1"/>
    <row r="5449" ht="18" customHeight="1"/>
    <row r="5450" ht="18" customHeight="1"/>
    <row r="5451" ht="18" customHeight="1"/>
    <row r="5452" ht="18" customHeight="1"/>
    <row r="5453" ht="18" customHeight="1"/>
    <row r="5454" ht="18" customHeight="1"/>
    <row r="5455" ht="18" customHeight="1"/>
    <row r="5456" ht="18" customHeight="1"/>
    <row r="5457" ht="18" customHeight="1"/>
    <row r="5458" ht="18" customHeight="1"/>
    <row r="5459" ht="18" customHeight="1"/>
    <row r="5460" ht="18" customHeight="1"/>
    <row r="5461" ht="18" customHeight="1"/>
    <row r="5462" ht="18" customHeight="1"/>
    <row r="5463" ht="18" customHeight="1"/>
    <row r="5464" ht="18" customHeight="1"/>
    <row r="5465" ht="18" customHeight="1"/>
    <row r="5466" ht="18" customHeight="1"/>
    <row r="5467" ht="18" customHeight="1"/>
    <row r="5468" ht="18" customHeight="1"/>
    <row r="5469" ht="18" customHeight="1"/>
    <row r="5470" ht="18" customHeight="1"/>
    <row r="5471" ht="18" customHeight="1"/>
    <row r="5472" ht="18" customHeight="1"/>
    <row r="5473" ht="18" customHeight="1"/>
    <row r="5474" ht="18" customHeight="1"/>
    <row r="5475" ht="18" customHeight="1"/>
    <row r="5476" ht="18" customHeight="1"/>
    <row r="5477" ht="18" customHeight="1"/>
    <row r="5478" ht="18" customHeight="1"/>
    <row r="5479" ht="18" customHeight="1"/>
    <row r="5480" ht="18" customHeight="1"/>
    <row r="5481" ht="18" customHeight="1"/>
    <row r="5482" ht="18" customHeight="1"/>
    <row r="5483" ht="18" customHeight="1"/>
    <row r="5484" ht="18" customHeight="1"/>
    <row r="5485" ht="18" customHeight="1"/>
    <row r="5486" ht="18" customHeight="1"/>
    <row r="5487" ht="18" customHeight="1"/>
    <row r="5488" ht="18" customHeight="1"/>
    <row r="5489" ht="18" customHeight="1"/>
    <row r="5490" ht="18" customHeight="1"/>
    <row r="5491" ht="18" customHeight="1"/>
    <row r="5492" ht="18" customHeight="1"/>
    <row r="5493" ht="18" customHeight="1"/>
    <row r="5494" ht="18" customHeight="1"/>
    <row r="5495" ht="18" customHeight="1"/>
    <row r="5496" ht="18" customHeight="1"/>
    <row r="5497" ht="18" customHeight="1"/>
    <row r="5498" ht="18" customHeight="1"/>
    <row r="5499" ht="18" customHeight="1"/>
    <row r="5500" ht="18" customHeight="1"/>
    <row r="5501" ht="18" customHeight="1"/>
    <row r="5502" ht="18" customHeight="1"/>
    <row r="5503" ht="18" customHeight="1"/>
    <row r="5504" ht="18" customHeight="1"/>
    <row r="5505" ht="18" customHeight="1"/>
    <row r="5506" ht="18" customHeight="1"/>
    <row r="5507" ht="18" customHeight="1"/>
    <row r="5508" ht="18" customHeight="1"/>
    <row r="5509" ht="18" customHeight="1"/>
    <row r="5510" ht="18" customHeight="1"/>
    <row r="5511" ht="18" customHeight="1"/>
    <row r="5512" ht="18" customHeight="1"/>
    <row r="5513" ht="18" customHeight="1"/>
    <row r="5514" ht="18" customHeight="1"/>
    <row r="5515" ht="18" customHeight="1"/>
    <row r="5516" ht="18" customHeight="1"/>
    <row r="5517" ht="18" customHeight="1"/>
    <row r="5518" ht="18" customHeight="1"/>
    <row r="5519" ht="18" customHeight="1"/>
    <row r="5520" ht="18" customHeight="1"/>
    <row r="5521" ht="18" customHeight="1"/>
    <row r="5522" ht="18" customHeight="1"/>
    <row r="5523" ht="18" customHeight="1"/>
    <row r="5524" ht="18" customHeight="1"/>
    <row r="5525" ht="18" customHeight="1"/>
    <row r="5526" ht="18" customHeight="1"/>
    <row r="5527" ht="18" customHeight="1"/>
    <row r="5528" ht="18" customHeight="1"/>
    <row r="5529" ht="18" customHeight="1"/>
    <row r="5530" ht="18" customHeight="1"/>
    <row r="5531" ht="18" customHeight="1"/>
    <row r="5532" ht="18" customHeight="1"/>
    <row r="5533" ht="18" customHeight="1"/>
    <row r="5534" ht="18" customHeight="1"/>
    <row r="5535" ht="18" customHeight="1"/>
    <row r="5536" ht="18" customHeight="1"/>
    <row r="5537" ht="18" customHeight="1"/>
    <row r="5538" ht="18" customHeight="1"/>
    <row r="5539" ht="18" customHeight="1"/>
    <row r="5540" ht="18" customHeight="1"/>
    <row r="5541" ht="18" customHeight="1"/>
    <row r="5542" ht="18" customHeight="1"/>
    <row r="5543" ht="18" customHeight="1"/>
    <row r="5544" ht="18" customHeight="1"/>
    <row r="5545" ht="18" customHeight="1"/>
    <row r="5546" ht="18" customHeight="1"/>
    <row r="5547" ht="18" customHeight="1"/>
    <row r="5548" ht="18" customHeight="1"/>
    <row r="5549" ht="18" customHeight="1"/>
    <row r="5550" ht="18" customHeight="1"/>
    <row r="5551" ht="18" customHeight="1"/>
    <row r="5552" ht="18" customHeight="1"/>
    <row r="5553" ht="18" customHeight="1"/>
    <row r="5554" ht="18" customHeight="1"/>
    <row r="5555" ht="18" customHeight="1"/>
    <row r="5556" ht="18" customHeight="1"/>
    <row r="5557" ht="18" customHeight="1"/>
    <row r="5558" ht="18" customHeight="1"/>
    <row r="5559" ht="18" customHeight="1"/>
    <row r="5560" ht="18" customHeight="1"/>
    <row r="5561" ht="18" customHeight="1"/>
    <row r="5562" ht="18" customHeight="1"/>
    <row r="5563" ht="18" customHeight="1"/>
    <row r="5564" ht="18" customHeight="1"/>
    <row r="5565" ht="18" customHeight="1"/>
    <row r="5566" ht="18" customHeight="1"/>
    <row r="5567" ht="18" customHeight="1"/>
    <row r="5568" ht="18" customHeight="1"/>
    <row r="5569" ht="18" customHeight="1"/>
    <row r="5570" ht="18" customHeight="1"/>
    <row r="5571" ht="18" customHeight="1"/>
    <row r="5572" ht="18" customHeight="1"/>
    <row r="5573" ht="18" customHeight="1"/>
    <row r="5574" ht="18" customHeight="1"/>
    <row r="5575" ht="18" customHeight="1"/>
    <row r="5576" ht="18" customHeight="1"/>
    <row r="5577" ht="18" customHeight="1"/>
    <row r="5578" ht="18" customHeight="1"/>
    <row r="5579" ht="18" customHeight="1"/>
    <row r="5580" ht="18" customHeight="1"/>
    <row r="5581" ht="18" customHeight="1"/>
    <row r="5582" ht="18" customHeight="1"/>
    <row r="5583" ht="18" customHeight="1"/>
    <row r="5584" ht="18" customHeight="1"/>
    <row r="5585" ht="18" customHeight="1"/>
    <row r="5586" ht="18" customHeight="1"/>
    <row r="5587" ht="18" customHeight="1"/>
    <row r="5588" ht="18" customHeight="1"/>
    <row r="5589" ht="18" customHeight="1"/>
    <row r="5590" ht="18" customHeight="1"/>
    <row r="5591" ht="18" customHeight="1"/>
    <row r="5592" ht="18" customHeight="1"/>
    <row r="5593" ht="18" customHeight="1"/>
    <row r="5594" ht="18" customHeight="1"/>
    <row r="5595" ht="18" customHeight="1"/>
    <row r="5596" ht="18" customHeight="1"/>
    <row r="5597" ht="18" customHeight="1"/>
    <row r="5598" ht="18" customHeight="1"/>
    <row r="5599" ht="18" customHeight="1"/>
    <row r="5600" ht="18" customHeight="1"/>
    <row r="5601" ht="18" customHeight="1"/>
    <row r="5602" ht="18" customHeight="1"/>
    <row r="5603" ht="18" customHeight="1"/>
    <row r="5604" ht="18" customHeight="1"/>
    <row r="5605" ht="18" customHeight="1"/>
    <row r="5606" ht="18" customHeight="1"/>
    <row r="5607" ht="18" customHeight="1"/>
    <row r="5608" ht="18" customHeight="1"/>
    <row r="5609" ht="18" customHeight="1"/>
    <row r="5610" ht="18" customHeight="1"/>
    <row r="5611" ht="18" customHeight="1"/>
    <row r="5612" ht="18" customHeight="1"/>
    <row r="5613" ht="18" customHeight="1"/>
    <row r="5614" ht="18" customHeight="1"/>
    <row r="5615" ht="18" customHeight="1"/>
    <row r="5616" ht="18" customHeight="1"/>
    <row r="5617" ht="18" customHeight="1"/>
    <row r="5618" ht="18" customHeight="1"/>
    <row r="5619" ht="18" customHeight="1"/>
    <row r="5620" ht="18" customHeight="1"/>
    <row r="5621" ht="18" customHeight="1"/>
    <row r="5622" ht="18" customHeight="1"/>
    <row r="5623" ht="18" customHeight="1"/>
    <row r="5624" ht="18" customHeight="1"/>
    <row r="5625" ht="18" customHeight="1"/>
    <row r="5626" ht="18" customHeight="1"/>
    <row r="5627" ht="18" customHeight="1"/>
    <row r="5628" ht="18" customHeight="1"/>
    <row r="5629" ht="18" customHeight="1"/>
    <row r="5630" ht="18" customHeight="1"/>
    <row r="5631" ht="18" customHeight="1"/>
    <row r="5632" ht="18" customHeight="1"/>
    <row r="5633" ht="18" customHeight="1"/>
    <row r="5634" ht="18" customHeight="1"/>
    <row r="5635" ht="18" customHeight="1"/>
    <row r="5636" ht="18" customHeight="1"/>
    <row r="5637" ht="18" customHeight="1"/>
    <row r="5638" ht="18" customHeight="1"/>
    <row r="5639" ht="18" customHeight="1"/>
    <row r="5640" ht="18" customHeight="1"/>
    <row r="5641" ht="18" customHeight="1"/>
    <row r="5642" ht="18" customHeight="1"/>
    <row r="5643" ht="18" customHeight="1"/>
    <row r="5644" ht="18" customHeight="1"/>
    <row r="5645" ht="18" customHeight="1"/>
    <row r="5646" ht="18" customHeight="1"/>
    <row r="5647" ht="18" customHeight="1"/>
    <row r="5648" ht="18" customHeight="1"/>
    <row r="5649" ht="18" customHeight="1"/>
    <row r="5650" ht="18" customHeight="1"/>
    <row r="5651" ht="18" customHeight="1"/>
    <row r="5652" ht="18" customHeight="1"/>
    <row r="5653" ht="18" customHeight="1"/>
    <row r="5654" ht="18" customHeight="1"/>
    <row r="5655" ht="18" customHeight="1"/>
    <row r="5656" ht="18" customHeight="1"/>
    <row r="5657" ht="18" customHeight="1"/>
    <row r="5658" ht="18" customHeight="1"/>
    <row r="5659" ht="18" customHeight="1"/>
    <row r="5660" ht="18" customHeight="1"/>
    <row r="5661" ht="18" customHeight="1"/>
    <row r="5662" ht="18" customHeight="1"/>
    <row r="5663" ht="18" customHeight="1"/>
    <row r="5664" ht="18" customHeight="1"/>
    <row r="5665" ht="18" customHeight="1"/>
    <row r="5666" ht="18" customHeight="1"/>
    <row r="5667" ht="18" customHeight="1"/>
    <row r="5668" ht="18" customHeight="1"/>
    <row r="5669" ht="18" customHeight="1"/>
    <row r="5670" ht="18" customHeight="1"/>
    <row r="5671" ht="18" customHeight="1"/>
    <row r="5672" ht="18" customHeight="1"/>
    <row r="5673" ht="18" customHeight="1"/>
    <row r="5674" ht="18" customHeight="1"/>
    <row r="5675" ht="18" customHeight="1"/>
    <row r="5676" ht="18" customHeight="1"/>
    <row r="5677" ht="18" customHeight="1"/>
    <row r="5678" ht="18" customHeight="1"/>
    <row r="5679" ht="18" customHeight="1"/>
    <row r="5680" ht="18" customHeight="1"/>
    <row r="5681" ht="18" customHeight="1"/>
    <row r="5682" ht="18" customHeight="1"/>
    <row r="5683" ht="18" customHeight="1"/>
    <row r="5684" ht="18" customHeight="1"/>
    <row r="5685" ht="18" customHeight="1"/>
    <row r="5686" ht="18" customHeight="1"/>
    <row r="5687" ht="18" customHeight="1"/>
    <row r="5688" ht="18" customHeight="1"/>
    <row r="5689" ht="18" customHeight="1"/>
    <row r="5690" ht="18" customHeight="1"/>
    <row r="5691" ht="18" customHeight="1"/>
    <row r="5692" ht="18" customHeight="1"/>
    <row r="5693" ht="18" customHeight="1"/>
    <row r="5694" ht="18" customHeight="1"/>
    <row r="5695" ht="18" customHeight="1"/>
    <row r="5696" ht="18" customHeight="1"/>
    <row r="5697" ht="18" customHeight="1"/>
    <row r="5698" ht="18" customHeight="1"/>
    <row r="5699" ht="18" customHeight="1"/>
    <row r="5700" ht="18" customHeight="1"/>
    <row r="5701" ht="18" customHeight="1"/>
    <row r="5702" ht="18" customHeight="1"/>
    <row r="5703" ht="18" customHeight="1"/>
    <row r="5704" ht="18" customHeight="1"/>
    <row r="5705" ht="18" customHeight="1"/>
    <row r="5706" ht="18" customHeight="1"/>
    <row r="5707" ht="18" customHeight="1"/>
    <row r="5708" ht="18" customHeight="1"/>
    <row r="5709" ht="18" customHeight="1"/>
    <row r="5710" ht="18" customHeight="1"/>
    <row r="5711" ht="18" customHeight="1"/>
    <row r="5712" ht="18" customHeight="1"/>
    <row r="5713" ht="18" customHeight="1"/>
    <row r="5714" ht="18" customHeight="1"/>
    <row r="5715" ht="18" customHeight="1"/>
    <row r="5716" ht="18" customHeight="1"/>
    <row r="5717" ht="18" customHeight="1"/>
    <row r="5718" ht="18" customHeight="1"/>
    <row r="5719" ht="18" customHeight="1"/>
    <row r="5720" ht="18" customHeight="1"/>
    <row r="5721" ht="18" customHeight="1"/>
    <row r="5722" ht="18" customHeight="1"/>
    <row r="5723" ht="18" customHeight="1"/>
    <row r="5724" ht="18" customHeight="1"/>
    <row r="5725" ht="18" customHeight="1"/>
    <row r="5726" ht="18" customHeight="1"/>
    <row r="5727" ht="18" customHeight="1"/>
    <row r="5728" ht="18" customHeight="1"/>
    <row r="5729" ht="18" customHeight="1"/>
    <row r="5730" ht="18" customHeight="1"/>
    <row r="5731" ht="18" customHeight="1"/>
    <row r="5732" ht="18" customHeight="1"/>
    <row r="5733" ht="18" customHeight="1"/>
    <row r="5734" ht="18" customHeight="1"/>
    <row r="5735" ht="18" customHeight="1"/>
    <row r="5736" ht="18" customHeight="1"/>
    <row r="5737" ht="18" customHeight="1"/>
    <row r="5738" ht="18" customHeight="1"/>
    <row r="5739" ht="18" customHeight="1"/>
    <row r="5740" ht="18" customHeight="1"/>
    <row r="5741" ht="18" customHeight="1"/>
    <row r="5742" ht="18" customHeight="1"/>
    <row r="5743" ht="18" customHeight="1"/>
    <row r="5744" ht="18" customHeight="1"/>
    <row r="5745" ht="18" customHeight="1"/>
    <row r="5746" ht="18" customHeight="1"/>
    <row r="5747" ht="18" customHeight="1"/>
    <row r="5748" ht="18" customHeight="1"/>
    <row r="5749" ht="18" customHeight="1"/>
    <row r="5750" ht="18" customHeight="1"/>
    <row r="5751" ht="18" customHeight="1"/>
    <row r="5752" ht="18" customHeight="1"/>
    <row r="5753" ht="18" customHeight="1"/>
    <row r="5754" ht="18" customHeight="1"/>
    <row r="5755" ht="18" customHeight="1"/>
    <row r="5756" ht="18" customHeight="1"/>
    <row r="5757" ht="18" customHeight="1"/>
    <row r="5758" ht="18" customHeight="1"/>
    <row r="5759" ht="18" customHeight="1"/>
    <row r="5760" ht="18" customHeight="1"/>
    <row r="5761" ht="18" customHeight="1"/>
    <row r="5762" ht="18" customHeight="1"/>
    <row r="5763" ht="18" customHeight="1"/>
    <row r="5764" ht="18" customHeight="1"/>
    <row r="5765" ht="18" customHeight="1"/>
    <row r="5766" ht="18" customHeight="1"/>
    <row r="5767" ht="18" customHeight="1"/>
    <row r="5768" ht="18" customHeight="1"/>
    <row r="5769" ht="18" customHeight="1"/>
    <row r="5770" ht="18" customHeight="1"/>
    <row r="5771" ht="18" customHeight="1"/>
    <row r="5772" ht="18" customHeight="1"/>
    <row r="5773" ht="18" customHeight="1"/>
    <row r="5774" ht="18" customHeight="1"/>
    <row r="5775" ht="18" customHeight="1"/>
    <row r="5776" ht="18" customHeight="1"/>
    <row r="5777" ht="18" customHeight="1"/>
    <row r="5778" ht="18" customHeight="1"/>
    <row r="5779" ht="18" customHeight="1"/>
    <row r="5780" ht="18" customHeight="1"/>
    <row r="5781" ht="18" customHeight="1"/>
    <row r="5782" ht="18" customHeight="1"/>
    <row r="5783" ht="18" customHeight="1"/>
    <row r="5784" ht="18" customHeight="1"/>
    <row r="5785" ht="18" customHeight="1"/>
    <row r="5786" ht="18" customHeight="1"/>
    <row r="5787" ht="18" customHeight="1"/>
    <row r="5788" ht="18" customHeight="1"/>
    <row r="5789" ht="18" customHeight="1"/>
    <row r="5790" ht="18" customHeight="1"/>
    <row r="5791" ht="18" customHeight="1"/>
    <row r="5792" ht="18" customHeight="1"/>
    <row r="5793" ht="18" customHeight="1"/>
    <row r="5794" ht="18" customHeight="1"/>
    <row r="5795" ht="18" customHeight="1"/>
    <row r="5796" ht="18" customHeight="1"/>
    <row r="5797" ht="18" customHeight="1"/>
    <row r="5798" ht="18" customHeight="1"/>
    <row r="5799" ht="18" customHeight="1"/>
    <row r="5800" ht="18" customHeight="1"/>
    <row r="5801" ht="18" customHeight="1"/>
    <row r="5802" ht="18" customHeight="1"/>
    <row r="5803" ht="18" customHeight="1"/>
    <row r="5804" ht="18" customHeight="1"/>
    <row r="5805" ht="18" customHeight="1"/>
    <row r="5806" ht="18" customHeight="1"/>
    <row r="5807" ht="18" customHeight="1"/>
    <row r="5808" ht="18" customHeight="1"/>
    <row r="5809" ht="18" customHeight="1"/>
    <row r="5810" ht="18" customHeight="1"/>
    <row r="5811" ht="18" customHeight="1"/>
    <row r="5812" ht="18" customHeight="1"/>
    <row r="5813" ht="18" customHeight="1"/>
    <row r="5814" ht="18" customHeight="1"/>
    <row r="5815" ht="18" customHeight="1"/>
    <row r="5816" ht="18" customHeight="1"/>
    <row r="5817" ht="18" customHeight="1"/>
    <row r="5818" ht="18" customHeight="1"/>
    <row r="5819" ht="18" customHeight="1"/>
    <row r="5820" ht="18" customHeight="1"/>
    <row r="5821" ht="18" customHeight="1"/>
    <row r="5822" ht="18" customHeight="1"/>
    <row r="5823" ht="18" customHeight="1"/>
    <row r="5824" ht="18" customHeight="1"/>
    <row r="5825" ht="18" customHeight="1"/>
    <row r="5826" ht="18" customHeight="1"/>
    <row r="5827" ht="18" customHeight="1"/>
    <row r="5828" ht="18" customHeight="1"/>
    <row r="5829" ht="18" customHeight="1"/>
    <row r="5830" ht="18" customHeight="1"/>
    <row r="5831" ht="18" customHeight="1"/>
    <row r="5832" ht="18" customHeight="1"/>
    <row r="5833" ht="18" customHeight="1"/>
    <row r="5834" ht="18" customHeight="1"/>
    <row r="5835" ht="18" customHeight="1"/>
    <row r="5836" ht="18" customHeight="1"/>
    <row r="5837" ht="18" customHeight="1"/>
    <row r="5838" ht="18" customHeight="1"/>
    <row r="5839" ht="18" customHeight="1"/>
    <row r="5840" ht="18" customHeight="1"/>
    <row r="5841" ht="18" customHeight="1"/>
    <row r="5842" ht="18" customHeight="1"/>
    <row r="5843" ht="18" customHeight="1"/>
    <row r="5844" ht="18" customHeight="1"/>
    <row r="5845" ht="18" customHeight="1"/>
    <row r="5846" ht="18" customHeight="1"/>
    <row r="5847" ht="18" customHeight="1"/>
    <row r="5848" ht="18" customHeight="1"/>
    <row r="5849" ht="18" customHeight="1"/>
    <row r="5850" ht="18" customHeight="1"/>
    <row r="5851" ht="18" customHeight="1"/>
    <row r="5852" ht="18" customHeight="1"/>
    <row r="5853" ht="18" customHeight="1"/>
    <row r="5854" ht="18" customHeight="1"/>
    <row r="5855" ht="18" customHeight="1"/>
    <row r="5856" ht="18" customHeight="1"/>
    <row r="5857" ht="18" customHeight="1"/>
    <row r="5858" ht="18" customHeight="1"/>
    <row r="5859" ht="18" customHeight="1"/>
    <row r="5860" ht="18" customHeight="1"/>
    <row r="5861" ht="18" customHeight="1"/>
    <row r="5862" ht="18" customHeight="1"/>
    <row r="5863" ht="18" customHeight="1"/>
    <row r="5864" ht="18" customHeight="1"/>
    <row r="5865" ht="18" customHeight="1"/>
    <row r="5866" ht="18" customHeight="1"/>
    <row r="5867" ht="18" customHeight="1"/>
    <row r="5868" ht="18" customHeight="1"/>
    <row r="5869" ht="18" customHeight="1"/>
    <row r="5870" ht="18" customHeight="1"/>
    <row r="5871" ht="18" customHeight="1"/>
    <row r="5872" ht="18" customHeight="1"/>
    <row r="5873" ht="18" customHeight="1"/>
    <row r="5874" ht="18" customHeight="1"/>
    <row r="5875" ht="18" customHeight="1"/>
    <row r="5876" ht="18" customHeight="1"/>
    <row r="5877" ht="18" customHeight="1"/>
    <row r="5878" ht="18" customHeight="1"/>
    <row r="5879" ht="18" customHeight="1"/>
    <row r="5880" ht="18" customHeight="1"/>
    <row r="5881" ht="18" customHeight="1"/>
    <row r="5882" ht="18" customHeight="1"/>
    <row r="5883" ht="18" customHeight="1"/>
    <row r="5884" ht="18" customHeight="1"/>
    <row r="5885" ht="18" customHeight="1"/>
    <row r="5886" ht="18" customHeight="1"/>
    <row r="5887" ht="18" customHeight="1"/>
    <row r="5888" ht="18" customHeight="1"/>
    <row r="5889" ht="18" customHeight="1"/>
    <row r="5890" ht="18" customHeight="1"/>
    <row r="5891" ht="18" customHeight="1"/>
    <row r="5892" ht="18" customHeight="1"/>
    <row r="5893" ht="18" customHeight="1"/>
    <row r="5894" ht="18" customHeight="1"/>
    <row r="5895" ht="18" customHeight="1"/>
    <row r="5896" ht="18" customHeight="1"/>
    <row r="5897" ht="18" customHeight="1"/>
    <row r="5898" ht="18" customHeight="1"/>
    <row r="5899" ht="18" customHeight="1"/>
    <row r="5900" ht="18" customHeight="1"/>
    <row r="5901" ht="18" customHeight="1"/>
    <row r="5902" ht="18" customHeight="1"/>
    <row r="5903" ht="18" customHeight="1"/>
    <row r="5904" ht="18" customHeight="1"/>
    <row r="5905" ht="18" customHeight="1"/>
    <row r="5906" ht="18" customHeight="1"/>
    <row r="5907" ht="18" customHeight="1"/>
    <row r="5908" ht="18" customHeight="1"/>
    <row r="5909" ht="18" customHeight="1"/>
    <row r="5910" ht="18" customHeight="1"/>
    <row r="5911" ht="18" customHeight="1"/>
    <row r="5912" ht="18" customHeight="1"/>
    <row r="5913" ht="18" customHeight="1"/>
    <row r="5914" ht="18" customHeight="1"/>
    <row r="5915" ht="18" customHeight="1"/>
    <row r="5916" ht="18" customHeight="1"/>
    <row r="5917" ht="18" customHeight="1"/>
    <row r="5918" ht="18" customHeight="1"/>
    <row r="5919" ht="18" customHeight="1"/>
    <row r="5920" ht="18" customHeight="1"/>
    <row r="5921" ht="18" customHeight="1"/>
    <row r="5922" ht="18" customHeight="1"/>
    <row r="5923" ht="18" customHeight="1"/>
    <row r="5924" ht="18" customHeight="1"/>
    <row r="5925" ht="18" customHeight="1"/>
    <row r="5926" ht="18" customHeight="1"/>
    <row r="5927" ht="18" customHeight="1"/>
    <row r="5928" ht="18" customHeight="1"/>
    <row r="5929" ht="18" customHeight="1"/>
    <row r="5930" ht="18" customHeight="1"/>
    <row r="5931" ht="18" customHeight="1"/>
    <row r="5932" ht="18" customHeight="1"/>
    <row r="5933" ht="18" customHeight="1"/>
    <row r="5934" ht="18" customHeight="1"/>
    <row r="5935" ht="18" customHeight="1"/>
    <row r="5936" ht="18" customHeight="1"/>
    <row r="5937" ht="18" customHeight="1"/>
    <row r="5938" ht="18" customHeight="1"/>
    <row r="5939" ht="18" customHeight="1"/>
    <row r="5940" ht="18" customHeight="1"/>
    <row r="5941" ht="18" customHeight="1"/>
    <row r="5942" ht="18" customHeight="1"/>
    <row r="5943" ht="18" customHeight="1"/>
    <row r="5944" ht="18" customHeight="1"/>
    <row r="5945" ht="18" customHeight="1"/>
    <row r="5946" ht="18" customHeight="1"/>
    <row r="5947" ht="18" customHeight="1"/>
    <row r="5948" ht="18" customHeight="1"/>
    <row r="5949" ht="18" customHeight="1"/>
    <row r="5950" ht="18" customHeight="1"/>
    <row r="5951" ht="18" customHeight="1"/>
    <row r="5952" ht="18" customHeight="1"/>
    <row r="5953" ht="18" customHeight="1"/>
    <row r="5954" ht="18" customHeight="1"/>
    <row r="5955" ht="18" customHeight="1"/>
    <row r="5956" ht="18" customHeight="1"/>
    <row r="5957" ht="18" customHeight="1"/>
    <row r="5958" ht="18" customHeight="1"/>
    <row r="5959" ht="18" customHeight="1"/>
    <row r="5960" ht="18" customHeight="1"/>
    <row r="5961" ht="18" customHeight="1"/>
    <row r="5962" ht="18" customHeight="1"/>
    <row r="5963" ht="18" customHeight="1"/>
    <row r="5964" ht="18" customHeight="1"/>
    <row r="5965" ht="18" customHeight="1"/>
    <row r="5966" ht="18" customHeight="1"/>
    <row r="5967" ht="18" customHeight="1"/>
    <row r="5968" ht="18" customHeight="1"/>
    <row r="5969" ht="18" customHeight="1"/>
    <row r="5970" ht="18" customHeight="1"/>
    <row r="5971" ht="18" customHeight="1"/>
    <row r="5972" ht="18" customHeight="1"/>
    <row r="5973" ht="18" customHeight="1"/>
    <row r="5974" ht="18" customHeight="1"/>
    <row r="5975" ht="18" customHeight="1"/>
    <row r="5976" ht="18" customHeight="1"/>
    <row r="5977" ht="18" customHeight="1"/>
    <row r="5978" ht="18" customHeight="1"/>
    <row r="5979" ht="18" customHeight="1"/>
    <row r="5980" ht="18" customHeight="1"/>
    <row r="5981" ht="18" customHeight="1"/>
    <row r="5982" ht="18" customHeight="1"/>
    <row r="5983" ht="18" customHeight="1"/>
    <row r="5984" ht="18" customHeight="1"/>
    <row r="5985" ht="18" customHeight="1"/>
    <row r="5986" ht="18" customHeight="1"/>
    <row r="5987" ht="18" customHeight="1"/>
    <row r="5988" ht="18" customHeight="1"/>
    <row r="5989" ht="18" customHeight="1"/>
    <row r="5990" ht="18" customHeight="1"/>
    <row r="5991" ht="18" customHeight="1"/>
    <row r="5992" ht="18" customHeight="1"/>
    <row r="5993" ht="18" customHeight="1"/>
    <row r="5994" ht="18" customHeight="1"/>
    <row r="5995" ht="18" customHeight="1"/>
    <row r="5996" ht="18" customHeight="1"/>
    <row r="5997" ht="18" customHeight="1"/>
    <row r="5998" ht="18" customHeight="1"/>
    <row r="5999" ht="18" customHeight="1"/>
    <row r="6000" ht="18" customHeight="1"/>
    <row r="6001" ht="18" customHeight="1"/>
    <row r="6002" ht="18" customHeight="1"/>
    <row r="6003" ht="18" customHeight="1"/>
    <row r="6004" ht="18" customHeight="1"/>
    <row r="6005" ht="18" customHeight="1"/>
    <row r="6006" ht="18" customHeight="1"/>
    <row r="6007" ht="18" customHeight="1"/>
    <row r="6008" ht="18" customHeight="1"/>
    <row r="6009" ht="18" customHeight="1"/>
    <row r="6010" ht="18" customHeight="1"/>
    <row r="6011" ht="18" customHeight="1"/>
    <row r="6012" ht="18" customHeight="1"/>
    <row r="6013" ht="18" customHeight="1"/>
    <row r="6014" ht="18" customHeight="1"/>
    <row r="6015" ht="18" customHeight="1"/>
    <row r="6016" ht="18" customHeight="1"/>
    <row r="6017" ht="18" customHeight="1"/>
    <row r="6018" ht="18" customHeight="1"/>
    <row r="6019" ht="18" customHeight="1"/>
    <row r="6020" ht="18" customHeight="1"/>
    <row r="6021" ht="18" customHeight="1"/>
    <row r="6022" ht="18" customHeight="1"/>
    <row r="6023" ht="18" customHeight="1"/>
    <row r="6024" ht="18" customHeight="1"/>
    <row r="6025" ht="18" customHeight="1"/>
    <row r="6026" ht="18" customHeight="1"/>
    <row r="6027" ht="18" customHeight="1"/>
    <row r="6028" ht="18" customHeight="1"/>
    <row r="6029" ht="18" customHeight="1"/>
    <row r="6030" ht="18" customHeight="1"/>
    <row r="6031" ht="18" customHeight="1"/>
    <row r="6032" ht="18" customHeight="1"/>
    <row r="6033" ht="18" customHeight="1"/>
    <row r="6034" ht="18" customHeight="1"/>
    <row r="6035" ht="18" customHeight="1"/>
    <row r="6036" ht="18" customHeight="1"/>
    <row r="6037" ht="18" customHeight="1"/>
    <row r="6038" ht="18" customHeight="1"/>
    <row r="6039" ht="18" customHeight="1"/>
    <row r="6040" ht="18" customHeight="1"/>
    <row r="6041" ht="18" customHeight="1"/>
    <row r="6042" ht="18" customHeight="1"/>
    <row r="6043" ht="18" customHeight="1"/>
    <row r="6044" ht="18" customHeight="1"/>
    <row r="6045" ht="18" customHeight="1"/>
    <row r="6046" ht="18" customHeight="1"/>
    <row r="6047" ht="18" customHeight="1"/>
    <row r="6048" ht="18" customHeight="1"/>
    <row r="6049" ht="18" customHeight="1"/>
    <row r="6050" ht="18" customHeight="1"/>
    <row r="6051" ht="18" customHeight="1"/>
    <row r="6052" ht="18" customHeight="1"/>
    <row r="6053" ht="18" customHeight="1"/>
    <row r="6054" ht="18" customHeight="1"/>
    <row r="6055" ht="18" customHeight="1"/>
    <row r="6056" ht="18" customHeight="1"/>
    <row r="6057" ht="18" customHeight="1"/>
    <row r="6058" ht="18" customHeight="1"/>
    <row r="6059" ht="18" customHeight="1"/>
    <row r="6060" ht="18" customHeight="1"/>
    <row r="6061" ht="18" customHeight="1"/>
    <row r="6062" ht="18" customHeight="1"/>
    <row r="6063" ht="18" customHeight="1"/>
    <row r="6064" ht="18" customHeight="1"/>
    <row r="6065" ht="18" customHeight="1"/>
    <row r="6066" ht="18" customHeight="1"/>
    <row r="6067" ht="18" customHeight="1"/>
    <row r="6068" ht="18" customHeight="1"/>
    <row r="6069" ht="18" customHeight="1"/>
    <row r="6070" ht="18" customHeight="1"/>
    <row r="6071" ht="18" customHeight="1"/>
    <row r="6072" ht="18" customHeight="1"/>
    <row r="6073" ht="18" customHeight="1"/>
    <row r="6074" ht="18" customHeight="1"/>
    <row r="6075" ht="18" customHeight="1"/>
    <row r="6076" ht="18" customHeight="1"/>
    <row r="6077" ht="18" customHeight="1"/>
    <row r="6078" ht="18" customHeight="1"/>
    <row r="6079" ht="18" customHeight="1"/>
    <row r="6080" ht="18" customHeight="1"/>
    <row r="6081" ht="18" customHeight="1"/>
    <row r="6082" ht="18" customHeight="1"/>
    <row r="6083" ht="18" customHeight="1"/>
    <row r="6084" ht="18" customHeight="1"/>
    <row r="6085" ht="18" customHeight="1"/>
    <row r="6086" ht="18" customHeight="1"/>
    <row r="6087" ht="18" customHeight="1"/>
    <row r="6088" ht="18" customHeight="1"/>
    <row r="6089" ht="18" customHeight="1"/>
    <row r="6090" ht="18" customHeight="1"/>
    <row r="6091" ht="18" customHeight="1"/>
    <row r="6092" ht="18" customHeight="1"/>
    <row r="6093" ht="18" customHeight="1"/>
    <row r="6094" ht="18" customHeight="1"/>
    <row r="6095" ht="18" customHeight="1"/>
    <row r="6096" ht="18" customHeight="1"/>
    <row r="6097" ht="18" customHeight="1"/>
    <row r="6098" ht="18" customHeight="1"/>
    <row r="6099" ht="18" customHeight="1"/>
    <row r="6100" ht="18" customHeight="1"/>
    <row r="6101" ht="18" customHeight="1"/>
    <row r="6102" ht="18" customHeight="1"/>
    <row r="6103" ht="18" customHeight="1"/>
    <row r="6104" ht="18" customHeight="1"/>
    <row r="6105" ht="18" customHeight="1"/>
    <row r="6106" ht="18" customHeight="1"/>
    <row r="6107" ht="18" customHeight="1"/>
    <row r="6108" ht="18" customHeight="1"/>
    <row r="6109" ht="18" customHeight="1"/>
    <row r="6110" ht="18" customHeight="1"/>
    <row r="6111" ht="18" customHeight="1"/>
    <row r="6112" ht="18" customHeight="1"/>
    <row r="6113" ht="18" customHeight="1"/>
    <row r="6114" ht="18" customHeight="1"/>
    <row r="6115" ht="18" customHeight="1"/>
    <row r="6116" ht="18" customHeight="1"/>
    <row r="6117" ht="18" customHeight="1"/>
    <row r="6118" ht="18" customHeight="1"/>
    <row r="6119" ht="18" customHeight="1"/>
    <row r="6120" ht="18" customHeight="1"/>
    <row r="6121" ht="18" customHeight="1"/>
    <row r="6122" ht="18" customHeight="1"/>
    <row r="6123" ht="18" customHeight="1"/>
    <row r="6124" ht="18" customHeight="1"/>
    <row r="6125" ht="18" customHeight="1"/>
    <row r="6126" ht="18" customHeight="1"/>
    <row r="6127" ht="18" customHeight="1"/>
    <row r="6128" ht="18" customHeight="1"/>
    <row r="6129" ht="18" customHeight="1"/>
    <row r="6130" ht="18" customHeight="1"/>
    <row r="6131" ht="18" customHeight="1"/>
    <row r="6132" ht="18" customHeight="1"/>
    <row r="6133" ht="18" customHeight="1"/>
    <row r="6134" ht="18" customHeight="1"/>
    <row r="6135" ht="18" customHeight="1"/>
    <row r="6136" ht="18" customHeight="1"/>
    <row r="6137" ht="18" customHeight="1"/>
    <row r="6138" ht="18" customHeight="1"/>
    <row r="6139" ht="18" customHeight="1"/>
    <row r="6140" ht="18" customHeight="1"/>
    <row r="6141" ht="18" customHeight="1"/>
    <row r="6142" ht="18" customHeight="1"/>
    <row r="6143" ht="18" customHeight="1"/>
    <row r="6144" ht="18" customHeight="1"/>
    <row r="6145" ht="18" customHeight="1"/>
    <row r="6146" ht="18" customHeight="1"/>
    <row r="6147" ht="18" customHeight="1"/>
    <row r="6148" ht="18" customHeight="1"/>
    <row r="6149" ht="18" customHeight="1"/>
    <row r="6150" ht="18" customHeight="1"/>
    <row r="6151" ht="18" customHeight="1"/>
    <row r="6152" ht="18" customHeight="1"/>
    <row r="6153" ht="18" customHeight="1"/>
    <row r="6154" ht="18" customHeight="1"/>
    <row r="6155" ht="18" customHeight="1"/>
    <row r="6156" ht="18" customHeight="1"/>
    <row r="6157" ht="18" customHeight="1"/>
    <row r="6158" ht="18" customHeight="1"/>
    <row r="6159" ht="18" customHeight="1"/>
    <row r="6160" ht="18" customHeight="1"/>
    <row r="6161" ht="18" customHeight="1"/>
    <row r="6162" ht="18" customHeight="1"/>
    <row r="6163" ht="18" customHeight="1"/>
    <row r="6164" ht="18" customHeight="1"/>
    <row r="6165" ht="18" customHeight="1"/>
    <row r="6166" ht="18" customHeight="1"/>
    <row r="6167" ht="18" customHeight="1"/>
    <row r="6168" ht="18" customHeight="1"/>
    <row r="6169" ht="18" customHeight="1"/>
    <row r="6170" ht="18" customHeight="1"/>
    <row r="6171" ht="18" customHeight="1"/>
    <row r="6172" ht="18" customHeight="1"/>
    <row r="6173" ht="18" customHeight="1"/>
    <row r="6174" ht="18" customHeight="1"/>
    <row r="6175" ht="18" customHeight="1"/>
    <row r="6176" ht="18" customHeight="1"/>
    <row r="6177" ht="18" customHeight="1"/>
    <row r="6178" ht="18" customHeight="1"/>
    <row r="6179" ht="18" customHeight="1"/>
    <row r="6180" ht="18" customHeight="1"/>
    <row r="6181" ht="18" customHeight="1"/>
    <row r="6182" ht="18" customHeight="1"/>
    <row r="6183" ht="18" customHeight="1"/>
    <row r="6184" ht="18" customHeight="1"/>
    <row r="6185" ht="18" customHeight="1"/>
    <row r="6186" ht="18" customHeight="1"/>
    <row r="6187" ht="18" customHeight="1"/>
    <row r="6188" ht="18" customHeight="1"/>
    <row r="6189" ht="18" customHeight="1"/>
    <row r="6190" ht="18" customHeight="1"/>
    <row r="6191" ht="18" customHeight="1"/>
    <row r="6192" ht="18" customHeight="1"/>
    <row r="6193" ht="18" customHeight="1"/>
    <row r="6194" ht="18" customHeight="1"/>
    <row r="6195" ht="18" customHeight="1"/>
    <row r="6196" ht="18" customHeight="1"/>
    <row r="6197" ht="18" customHeight="1"/>
    <row r="6198" ht="18" customHeight="1"/>
    <row r="6199" ht="18" customHeight="1"/>
    <row r="6200" ht="18" customHeight="1"/>
    <row r="6201" ht="18" customHeight="1"/>
    <row r="6202" ht="18" customHeight="1"/>
    <row r="6203" ht="18" customHeight="1"/>
    <row r="6204" ht="18" customHeight="1"/>
    <row r="6205" ht="18" customHeight="1"/>
    <row r="6206" ht="18" customHeight="1"/>
    <row r="6207" ht="18" customHeight="1"/>
    <row r="6208" ht="18" customHeight="1"/>
    <row r="6209" ht="18" customHeight="1"/>
    <row r="6210" ht="18" customHeight="1"/>
    <row r="6211" ht="18" customHeight="1"/>
    <row r="6212" ht="18" customHeight="1"/>
    <row r="6213" ht="18" customHeight="1"/>
    <row r="6214" ht="18" customHeight="1"/>
    <row r="6215" ht="18" customHeight="1"/>
    <row r="6216" ht="18" customHeight="1"/>
    <row r="6217" ht="18" customHeight="1"/>
    <row r="6218" ht="18" customHeight="1"/>
    <row r="6219" ht="18" customHeight="1"/>
    <row r="6220" ht="18" customHeight="1"/>
    <row r="6221" ht="18" customHeight="1"/>
    <row r="6222" ht="18" customHeight="1"/>
    <row r="6223" ht="18" customHeight="1"/>
    <row r="6224" ht="18" customHeight="1"/>
    <row r="6225" ht="18" customHeight="1"/>
    <row r="6226" ht="18" customHeight="1"/>
    <row r="6227" ht="18" customHeight="1"/>
    <row r="6228" ht="18" customHeight="1"/>
    <row r="6229" ht="18" customHeight="1"/>
    <row r="6230" ht="18" customHeight="1"/>
    <row r="6231" ht="18" customHeight="1"/>
    <row r="6232" ht="18" customHeight="1"/>
    <row r="6233" ht="18" customHeight="1"/>
    <row r="6234" ht="18" customHeight="1"/>
    <row r="6235" ht="18" customHeight="1"/>
    <row r="6236" ht="18" customHeight="1"/>
    <row r="6237" ht="18" customHeight="1"/>
    <row r="6238" ht="18" customHeight="1"/>
    <row r="6239" ht="18" customHeight="1"/>
    <row r="6240" ht="18" customHeight="1"/>
    <row r="6241" ht="18" customHeight="1"/>
    <row r="6242" ht="18" customHeight="1"/>
    <row r="6243" ht="18" customHeight="1"/>
    <row r="6244" ht="18" customHeight="1"/>
    <row r="6245" ht="18" customHeight="1"/>
    <row r="6246" ht="18" customHeight="1"/>
    <row r="6247" ht="18" customHeight="1"/>
    <row r="6248" ht="18" customHeight="1"/>
    <row r="6249" ht="18" customHeight="1"/>
    <row r="6250" ht="18" customHeight="1"/>
    <row r="6251" ht="18" customHeight="1"/>
    <row r="6252" ht="18" customHeight="1"/>
    <row r="6253" ht="18" customHeight="1"/>
    <row r="6254" ht="18" customHeight="1"/>
    <row r="6255" ht="18" customHeight="1"/>
    <row r="6256" ht="18" customHeight="1"/>
    <row r="6257" ht="18" customHeight="1"/>
    <row r="6258" ht="18" customHeight="1"/>
    <row r="6259" ht="18" customHeight="1"/>
    <row r="6260" ht="18" customHeight="1"/>
    <row r="6261" ht="18" customHeight="1"/>
    <row r="6262" ht="18" customHeight="1"/>
    <row r="6263" ht="18" customHeight="1"/>
    <row r="6264" ht="18" customHeight="1"/>
    <row r="6265" ht="18" customHeight="1"/>
    <row r="6266" ht="18" customHeight="1"/>
    <row r="6267" ht="18" customHeight="1"/>
    <row r="6268" ht="18" customHeight="1"/>
    <row r="6269" ht="18" customHeight="1"/>
    <row r="6270" ht="18" customHeight="1"/>
    <row r="6271" ht="18" customHeight="1"/>
    <row r="6272" ht="18" customHeight="1"/>
    <row r="6273" ht="18" customHeight="1"/>
    <row r="6274" ht="18" customHeight="1"/>
    <row r="6275" ht="18" customHeight="1"/>
    <row r="6276" ht="18" customHeight="1"/>
    <row r="6277" ht="18" customHeight="1"/>
    <row r="6278" ht="18" customHeight="1"/>
    <row r="6279" ht="18" customHeight="1"/>
    <row r="6280" ht="18" customHeight="1"/>
    <row r="6281" ht="18" customHeight="1"/>
    <row r="6282" ht="18" customHeight="1"/>
    <row r="6283" ht="18" customHeight="1"/>
    <row r="6284" ht="18" customHeight="1"/>
    <row r="6285" ht="18" customHeight="1"/>
    <row r="6286" ht="18" customHeight="1"/>
    <row r="6287" ht="18" customHeight="1"/>
    <row r="6288" ht="18" customHeight="1"/>
    <row r="6289" ht="18" customHeight="1"/>
    <row r="6290" ht="18" customHeight="1"/>
    <row r="6291" ht="18" customHeight="1"/>
    <row r="6292" ht="18" customHeight="1"/>
    <row r="6293" ht="18" customHeight="1"/>
    <row r="6294" ht="18" customHeight="1"/>
    <row r="6295" ht="18" customHeight="1"/>
    <row r="6296" ht="18" customHeight="1"/>
    <row r="6297" ht="18" customHeight="1"/>
    <row r="6298" ht="18" customHeight="1"/>
    <row r="6299" ht="18" customHeight="1"/>
    <row r="6300" ht="18" customHeight="1"/>
    <row r="6301" ht="18" customHeight="1"/>
    <row r="6302" ht="18" customHeight="1"/>
    <row r="6303" ht="18" customHeight="1"/>
    <row r="6304" ht="18" customHeight="1"/>
    <row r="6305" ht="18" customHeight="1"/>
    <row r="6306" ht="18" customHeight="1"/>
    <row r="6307" ht="18" customHeight="1"/>
    <row r="6308" ht="18" customHeight="1"/>
    <row r="6309" ht="18" customHeight="1"/>
    <row r="6310" ht="18" customHeight="1"/>
    <row r="6311" ht="18" customHeight="1"/>
    <row r="6312" ht="18" customHeight="1"/>
    <row r="6313" ht="18" customHeight="1"/>
    <row r="6314" ht="18" customHeight="1"/>
    <row r="6315" ht="18" customHeight="1"/>
    <row r="6316" ht="18" customHeight="1"/>
    <row r="6317" ht="18" customHeight="1"/>
    <row r="6318" ht="18" customHeight="1"/>
    <row r="6319" ht="18" customHeight="1"/>
    <row r="6320" ht="18" customHeight="1"/>
    <row r="6321" ht="18" customHeight="1"/>
    <row r="6322" ht="18" customHeight="1"/>
    <row r="6323" ht="18" customHeight="1"/>
    <row r="6324" ht="18" customHeight="1"/>
    <row r="6325" ht="18" customHeight="1"/>
    <row r="6326" ht="18" customHeight="1"/>
    <row r="6327" ht="18" customHeight="1"/>
    <row r="6328" ht="18" customHeight="1"/>
    <row r="6329" ht="18" customHeight="1"/>
    <row r="6330" ht="18" customHeight="1"/>
    <row r="6331" ht="18" customHeight="1"/>
    <row r="6332" ht="18" customHeight="1"/>
    <row r="6333" ht="18" customHeight="1"/>
    <row r="6334" ht="18" customHeight="1"/>
    <row r="6335" ht="18" customHeight="1"/>
    <row r="6336" ht="18" customHeight="1"/>
    <row r="6337" ht="18" customHeight="1"/>
    <row r="6338" ht="18" customHeight="1"/>
    <row r="6339" ht="18" customHeight="1"/>
    <row r="6340" ht="18" customHeight="1"/>
    <row r="6341" ht="18" customHeight="1"/>
    <row r="6342" ht="18" customHeight="1"/>
    <row r="6343" ht="18" customHeight="1"/>
    <row r="6344" ht="18" customHeight="1"/>
    <row r="6345" ht="18" customHeight="1"/>
    <row r="6346" ht="18" customHeight="1"/>
    <row r="6347" ht="18" customHeight="1"/>
    <row r="6348" ht="18" customHeight="1"/>
    <row r="6349" ht="18" customHeight="1"/>
    <row r="6350" ht="18" customHeight="1"/>
    <row r="6351" ht="18" customHeight="1"/>
    <row r="6352" ht="18" customHeight="1"/>
    <row r="6353" ht="18" customHeight="1"/>
    <row r="6354" ht="18" customHeight="1"/>
    <row r="6355" ht="18" customHeight="1"/>
    <row r="6356" ht="18" customHeight="1"/>
    <row r="6357" ht="18" customHeight="1"/>
    <row r="6358" ht="18" customHeight="1"/>
    <row r="6359" ht="18" customHeight="1"/>
    <row r="6360" ht="18" customHeight="1"/>
    <row r="6361" ht="18" customHeight="1"/>
    <row r="6362" ht="18" customHeight="1"/>
    <row r="6363" ht="18" customHeight="1"/>
    <row r="6364" ht="18" customHeight="1"/>
    <row r="6365" ht="18" customHeight="1"/>
    <row r="6366" ht="18" customHeight="1"/>
    <row r="6367" ht="18" customHeight="1"/>
    <row r="6368" ht="18" customHeight="1"/>
    <row r="6369" ht="18" customHeight="1"/>
    <row r="6370" ht="18" customHeight="1"/>
    <row r="6371" ht="18" customHeight="1"/>
    <row r="6372" ht="18" customHeight="1"/>
    <row r="6373" ht="18" customHeight="1"/>
    <row r="6374" ht="18" customHeight="1"/>
    <row r="6375" ht="18" customHeight="1"/>
    <row r="6376" ht="18" customHeight="1"/>
    <row r="6377" ht="18" customHeight="1"/>
    <row r="6378" ht="18" customHeight="1"/>
    <row r="6379" ht="18" customHeight="1"/>
    <row r="6380" ht="18" customHeight="1"/>
    <row r="6381" ht="18" customHeight="1"/>
    <row r="6382" ht="18" customHeight="1"/>
    <row r="6383" ht="18" customHeight="1"/>
    <row r="6384" ht="18" customHeight="1"/>
    <row r="6385" ht="18" customHeight="1"/>
    <row r="6386" ht="18" customHeight="1"/>
    <row r="6387" ht="18" customHeight="1"/>
    <row r="6388" ht="18" customHeight="1"/>
    <row r="6389" ht="18" customHeight="1"/>
    <row r="6390" ht="18" customHeight="1"/>
    <row r="6391" ht="18" customHeight="1"/>
    <row r="6392" ht="18" customHeight="1"/>
    <row r="6393" ht="18" customHeight="1"/>
    <row r="6394" ht="18" customHeight="1"/>
    <row r="6395" ht="18" customHeight="1"/>
    <row r="6396" ht="18" customHeight="1"/>
    <row r="6397" ht="18" customHeight="1"/>
    <row r="6398" ht="18" customHeight="1"/>
    <row r="6399" ht="18" customHeight="1"/>
    <row r="6400" ht="18" customHeight="1"/>
    <row r="6401" ht="18" customHeight="1"/>
    <row r="6402" ht="18" customHeight="1"/>
    <row r="6403" ht="18" customHeight="1"/>
    <row r="6404" ht="18" customHeight="1"/>
    <row r="6405" ht="18" customHeight="1"/>
    <row r="6406" ht="18" customHeight="1"/>
    <row r="6407" ht="18" customHeight="1"/>
    <row r="6408" ht="18" customHeight="1"/>
    <row r="6409" ht="18" customHeight="1"/>
    <row r="6410" ht="18" customHeight="1"/>
    <row r="6411" ht="18" customHeight="1"/>
    <row r="6412" ht="18" customHeight="1"/>
    <row r="6413" ht="18" customHeight="1"/>
    <row r="6414" ht="18" customHeight="1"/>
    <row r="6415" ht="18" customHeight="1"/>
    <row r="6416" ht="18" customHeight="1"/>
    <row r="6417" ht="18" customHeight="1"/>
    <row r="6418" ht="18" customHeight="1"/>
    <row r="6419" ht="18" customHeight="1"/>
    <row r="6420" ht="18" customHeight="1"/>
    <row r="6421" ht="18" customHeight="1"/>
    <row r="6422" ht="18" customHeight="1"/>
    <row r="6423" ht="18" customHeight="1"/>
    <row r="6424" ht="18" customHeight="1"/>
    <row r="6425" ht="18" customHeight="1"/>
    <row r="6426" ht="18" customHeight="1"/>
    <row r="6427" ht="18" customHeight="1"/>
    <row r="6428" ht="18" customHeight="1"/>
    <row r="6429" ht="18" customHeight="1"/>
    <row r="6430" ht="18" customHeight="1"/>
    <row r="6431" ht="18" customHeight="1"/>
    <row r="6432" ht="18" customHeight="1"/>
    <row r="6433" ht="18" customHeight="1"/>
    <row r="6434" ht="18" customHeight="1"/>
    <row r="6435" ht="18" customHeight="1"/>
    <row r="6436" ht="18" customHeight="1"/>
    <row r="6437" ht="18" customHeight="1"/>
    <row r="6438" ht="18" customHeight="1"/>
    <row r="6439" ht="18" customHeight="1"/>
    <row r="6440" ht="18" customHeight="1"/>
    <row r="6441" ht="18" customHeight="1"/>
    <row r="6442" ht="18" customHeight="1"/>
    <row r="6443" ht="18" customHeight="1"/>
    <row r="6444" ht="18" customHeight="1"/>
    <row r="6445" ht="18" customHeight="1"/>
    <row r="6446" ht="18" customHeight="1"/>
    <row r="6447" ht="18" customHeight="1"/>
    <row r="6448" ht="18" customHeight="1"/>
    <row r="6449" ht="18" customHeight="1"/>
    <row r="6450" ht="18" customHeight="1"/>
    <row r="6451" ht="18" customHeight="1"/>
    <row r="6452" ht="18" customHeight="1"/>
    <row r="6453" ht="18" customHeight="1"/>
    <row r="6454" ht="18" customHeight="1"/>
    <row r="6455" ht="18" customHeight="1"/>
    <row r="6456" ht="18" customHeight="1"/>
    <row r="6457" ht="18" customHeight="1"/>
    <row r="6458" ht="18" customHeight="1"/>
    <row r="6459" ht="18" customHeight="1"/>
    <row r="6460" ht="18" customHeight="1"/>
    <row r="6461" ht="18" customHeight="1"/>
    <row r="6462" ht="18" customHeight="1"/>
    <row r="6463" ht="18" customHeight="1"/>
    <row r="6464" ht="18" customHeight="1"/>
    <row r="6465" ht="18" customHeight="1"/>
    <row r="6466" ht="18" customHeight="1"/>
    <row r="6467" ht="18" customHeight="1"/>
    <row r="6468" ht="18" customHeight="1"/>
    <row r="6469" ht="18" customHeight="1"/>
    <row r="6470" ht="18" customHeight="1"/>
    <row r="6471" ht="18" customHeight="1"/>
    <row r="6472" ht="18" customHeight="1"/>
    <row r="6473" ht="18" customHeight="1"/>
    <row r="6474" ht="18" customHeight="1"/>
    <row r="6475" ht="18" customHeight="1"/>
    <row r="6476" ht="18" customHeight="1"/>
    <row r="6477" ht="18" customHeight="1"/>
    <row r="6478" ht="18" customHeight="1"/>
    <row r="6479" ht="18" customHeight="1"/>
    <row r="6480" ht="18" customHeight="1"/>
    <row r="6481" ht="18" customHeight="1"/>
    <row r="6482" ht="18" customHeight="1"/>
    <row r="6483" ht="18" customHeight="1"/>
    <row r="6484" ht="18" customHeight="1"/>
    <row r="6485" ht="18" customHeight="1"/>
    <row r="6486" ht="18" customHeight="1"/>
    <row r="6487" ht="18" customHeight="1"/>
    <row r="6488" ht="18" customHeight="1"/>
    <row r="6489" ht="18" customHeight="1"/>
    <row r="6490" ht="18" customHeight="1"/>
    <row r="6491" ht="18" customHeight="1"/>
    <row r="6492" ht="18" customHeight="1"/>
    <row r="6493" ht="18" customHeight="1"/>
    <row r="6494" ht="18" customHeight="1"/>
    <row r="6495" ht="18" customHeight="1"/>
    <row r="6496" ht="18" customHeight="1"/>
    <row r="6497" ht="18" customHeight="1"/>
    <row r="6498" ht="18" customHeight="1"/>
    <row r="6499" ht="18" customHeight="1"/>
    <row r="6500" ht="18" customHeight="1"/>
    <row r="6501" ht="18" customHeight="1"/>
    <row r="6502" ht="18" customHeight="1"/>
    <row r="6503" ht="18" customHeight="1"/>
    <row r="6504" ht="18" customHeight="1"/>
    <row r="6505" ht="18" customHeight="1"/>
    <row r="6506" ht="18" customHeight="1"/>
    <row r="6507" ht="18" customHeight="1"/>
    <row r="6508" ht="18" customHeight="1"/>
    <row r="6509" ht="18" customHeight="1"/>
    <row r="6510" ht="18" customHeight="1"/>
    <row r="6511" ht="18" customHeight="1"/>
    <row r="6512" ht="18" customHeight="1"/>
    <row r="6513" ht="18" customHeight="1"/>
    <row r="6514" ht="18" customHeight="1"/>
    <row r="6515" ht="18" customHeight="1"/>
    <row r="6516" ht="18" customHeight="1"/>
    <row r="6517" ht="18" customHeight="1"/>
    <row r="6518" ht="18" customHeight="1"/>
    <row r="6519" ht="18" customHeight="1"/>
    <row r="6520" ht="18" customHeight="1"/>
    <row r="6521" ht="18" customHeight="1"/>
    <row r="6522" ht="18" customHeight="1"/>
    <row r="6523" ht="18" customHeight="1"/>
    <row r="6524" ht="18" customHeight="1"/>
    <row r="6525" ht="18" customHeight="1"/>
    <row r="6526" ht="18" customHeight="1"/>
    <row r="6527" ht="18" customHeight="1"/>
    <row r="6528" ht="18" customHeight="1"/>
    <row r="6529" ht="18" customHeight="1"/>
    <row r="6530" ht="18" customHeight="1"/>
    <row r="6531" ht="18" customHeight="1"/>
    <row r="6532" ht="18" customHeight="1"/>
    <row r="6533" ht="18" customHeight="1"/>
    <row r="6534" ht="18" customHeight="1"/>
    <row r="6535" ht="18" customHeight="1"/>
    <row r="6536" ht="18" customHeight="1"/>
    <row r="6537" ht="18" customHeight="1"/>
    <row r="6538" ht="18" customHeight="1"/>
    <row r="6539" ht="18" customHeight="1"/>
    <row r="6540" ht="18" customHeight="1"/>
    <row r="6541" ht="18" customHeight="1"/>
    <row r="6542" ht="18" customHeight="1"/>
    <row r="6543" ht="18" customHeight="1"/>
    <row r="6544" ht="18" customHeight="1"/>
    <row r="6545" ht="18" customHeight="1"/>
    <row r="6546" ht="18" customHeight="1"/>
    <row r="6547" ht="18" customHeight="1"/>
    <row r="6548" ht="18" customHeight="1"/>
    <row r="6549" ht="18" customHeight="1"/>
    <row r="6550" ht="18" customHeight="1"/>
    <row r="6551" ht="18" customHeight="1"/>
    <row r="6552" ht="18" customHeight="1"/>
    <row r="6553" ht="18" customHeight="1"/>
    <row r="6554" ht="18" customHeight="1"/>
    <row r="6555" ht="18" customHeight="1"/>
    <row r="6556" ht="18" customHeight="1"/>
    <row r="6557" ht="18" customHeight="1"/>
    <row r="6558" ht="18" customHeight="1"/>
    <row r="6559" ht="18" customHeight="1"/>
    <row r="6560" ht="18" customHeight="1"/>
    <row r="6561" ht="18" customHeight="1"/>
    <row r="6562" ht="18" customHeight="1"/>
    <row r="6563" ht="18" customHeight="1"/>
    <row r="6564" ht="18" customHeight="1"/>
    <row r="6565" ht="18" customHeight="1"/>
    <row r="6566" ht="18" customHeight="1"/>
    <row r="6567" ht="18" customHeight="1"/>
    <row r="6568" ht="18" customHeight="1"/>
    <row r="6569" ht="18" customHeight="1"/>
    <row r="6570" ht="18" customHeight="1"/>
    <row r="6571" ht="18" customHeight="1"/>
    <row r="6572" ht="18" customHeight="1"/>
    <row r="6573" ht="18" customHeight="1"/>
    <row r="6574" ht="18" customHeight="1"/>
    <row r="6575" ht="18" customHeight="1"/>
    <row r="6576" ht="18" customHeight="1"/>
    <row r="6577" ht="18" customHeight="1"/>
    <row r="6578" ht="18" customHeight="1"/>
    <row r="6579" ht="18" customHeight="1"/>
    <row r="6580" ht="18" customHeight="1"/>
    <row r="6581" ht="18" customHeight="1"/>
    <row r="6582" ht="18" customHeight="1"/>
    <row r="6583" ht="18" customHeight="1"/>
    <row r="6584" ht="18" customHeight="1"/>
    <row r="6585" ht="18" customHeight="1"/>
    <row r="6586" ht="18" customHeight="1"/>
    <row r="6587" ht="18" customHeight="1"/>
    <row r="6588" ht="18" customHeight="1"/>
    <row r="6589" ht="18" customHeight="1"/>
    <row r="6590" ht="18" customHeight="1"/>
    <row r="6591" ht="18" customHeight="1"/>
    <row r="6592" ht="18" customHeight="1"/>
    <row r="6593" ht="18" customHeight="1"/>
    <row r="6594" ht="18" customHeight="1"/>
    <row r="6595" ht="18" customHeight="1"/>
    <row r="6596" ht="18" customHeight="1"/>
    <row r="6597" ht="18" customHeight="1"/>
    <row r="6598" ht="18" customHeight="1"/>
    <row r="6599" ht="18" customHeight="1"/>
    <row r="6600" ht="18" customHeight="1"/>
    <row r="6601" ht="18" customHeight="1"/>
    <row r="6602" ht="18" customHeight="1"/>
    <row r="6603" ht="18" customHeight="1"/>
    <row r="6604" ht="18" customHeight="1"/>
    <row r="6605" ht="18" customHeight="1"/>
    <row r="6606" ht="18" customHeight="1"/>
    <row r="6607" ht="18" customHeight="1"/>
    <row r="6608" ht="18" customHeight="1"/>
    <row r="6609" ht="18" customHeight="1"/>
    <row r="6610" ht="18" customHeight="1"/>
    <row r="6611" ht="18" customHeight="1"/>
    <row r="6612" ht="18" customHeight="1"/>
    <row r="6613" ht="18" customHeight="1"/>
    <row r="6614" ht="18" customHeight="1"/>
    <row r="6615" ht="18" customHeight="1"/>
    <row r="6616" ht="18" customHeight="1"/>
    <row r="6617" ht="18" customHeight="1"/>
    <row r="6618" ht="18" customHeight="1"/>
    <row r="6619" ht="18" customHeight="1"/>
    <row r="6620" ht="18" customHeight="1"/>
    <row r="6621" ht="18" customHeight="1"/>
    <row r="6622" ht="18" customHeight="1"/>
    <row r="6623" ht="18" customHeight="1"/>
    <row r="6624" ht="18" customHeight="1"/>
    <row r="6625" ht="18" customHeight="1"/>
    <row r="6626" ht="18" customHeight="1"/>
    <row r="6627" ht="18" customHeight="1"/>
    <row r="6628" ht="18" customHeight="1"/>
    <row r="6629" ht="18" customHeight="1"/>
    <row r="6630" ht="18" customHeight="1"/>
    <row r="6631" ht="18" customHeight="1"/>
    <row r="6632" ht="18" customHeight="1"/>
    <row r="6633" ht="18" customHeight="1"/>
    <row r="6634" ht="18" customHeight="1"/>
    <row r="6635" ht="18" customHeight="1"/>
    <row r="6636" ht="18" customHeight="1"/>
    <row r="6637" ht="18" customHeight="1"/>
    <row r="6638" ht="18" customHeight="1"/>
    <row r="6639" ht="18" customHeight="1"/>
    <row r="6640" ht="18" customHeight="1"/>
    <row r="6641" ht="18" customHeight="1"/>
    <row r="6642" ht="18" customHeight="1"/>
    <row r="6643" ht="18" customHeight="1"/>
    <row r="6644" ht="18" customHeight="1"/>
    <row r="6645" ht="18" customHeight="1"/>
    <row r="6646" ht="18" customHeight="1"/>
    <row r="6647" ht="18" customHeight="1"/>
    <row r="6648" ht="18" customHeight="1"/>
    <row r="6649" ht="18" customHeight="1"/>
    <row r="6650" ht="18" customHeight="1"/>
    <row r="6651" ht="18" customHeight="1"/>
    <row r="6652" ht="18" customHeight="1"/>
    <row r="6653" ht="18" customHeight="1"/>
    <row r="6654" ht="18" customHeight="1"/>
    <row r="6655" ht="18" customHeight="1"/>
    <row r="6656" ht="18" customHeight="1"/>
    <row r="6657" ht="18" customHeight="1"/>
    <row r="6658" ht="18" customHeight="1"/>
    <row r="6659" ht="18" customHeight="1"/>
    <row r="6660" ht="18" customHeight="1"/>
    <row r="6661" ht="18" customHeight="1"/>
    <row r="6662" ht="18" customHeight="1"/>
    <row r="6663" ht="18" customHeight="1"/>
    <row r="6664" ht="18" customHeight="1"/>
    <row r="6665" ht="18" customHeight="1"/>
    <row r="6666" ht="18" customHeight="1"/>
    <row r="6667" ht="18" customHeight="1"/>
    <row r="6668" ht="18" customHeight="1"/>
    <row r="6669" ht="18" customHeight="1"/>
    <row r="6670" ht="18" customHeight="1"/>
    <row r="6671" ht="18" customHeight="1"/>
    <row r="6672" ht="18" customHeight="1"/>
    <row r="6673" ht="18" customHeight="1"/>
    <row r="6674" ht="18" customHeight="1"/>
    <row r="6675" ht="18" customHeight="1"/>
    <row r="6676" ht="18" customHeight="1"/>
    <row r="6677" ht="18" customHeight="1"/>
    <row r="6678" ht="18" customHeight="1"/>
    <row r="6679" ht="18" customHeight="1"/>
    <row r="6680" ht="18" customHeight="1"/>
    <row r="6681" ht="18" customHeight="1"/>
    <row r="6682" ht="18" customHeight="1"/>
    <row r="6683" ht="18" customHeight="1"/>
    <row r="6684" ht="18" customHeight="1"/>
    <row r="6685" ht="18" customHeight="1"/>
    <row r="6686" ht="18" customHeight="1"/>
    <row r="6687" ht="18" customHeight="1"/>
    <row r="6688" ht="18" customHeight="1"/>
    <row r="6689" ht="18" customHeight="1"/>
    <row r="6690" ht="18" customHeight="1"/>
    <row r="6691" ht="18" customHeight="1"/>
    <row r="6692" ht="18" customHeight="1"/>
    <row r="6693" ht="18" customHeight="1"/>
    <row r="6694" ht="18" customHeight="1"/>
    <row r="6695" ht="18" customHeight="1"/>
    <row r="6696" ht="18" customHeight="1"/>
    <row r="6697" ht="18" customHeight="1"/>
    <row r="6698" ht="18" customHeight="1"/>
    <row r="6699" ht="18" customHeight="1"/>
    <row r="6700" ht="18" customHeight="1"/>
    <row r="6701" ht="18" customHeight="1"/>
    <row r="6702" ht="18" customHeight="1"/>
    <row r="6703" ht="18" customHeight="1"/>
    <row r="6704" ht="18" customHeight="1"/>
    <row r="6705" ht="18" customHeight="1"/>
    <row r="6706" ht="18" customHeight="1"/>
    <row r="6707" ht="18" customHeight="1"/>
    <row r="6708" ht="18" customHeight="1"/>
    <row r="6709" ht="18" customHeight="1"/>
    <row r="6710" ht="18" customHeight="1"/>
    <row r="6711" ht="18" customHeight="1"/>
    <row r="6712" ht="18" customHeight="1"/>
    <row r="6713" ht="18" customHeight="1"/>
    <row r="6714" ht="18" customHeight="1"/>
    <row r="6715" ht="18" customHeight="1"/>
    <row r="6716" ht="18" customHeight="1"/>
    <row r="6717" ht="18" customHeight="1"/>
    <row r="6718" ht="18" customHeight="1"/>
    <row r="6719" ht="18" customHeight="1"/>
    <row r="6720" ht="18" customHeight="1"/>
    <row r="6721" ht="18" customHeight="1"/>
    <row r="6722" ht="18" customHeight="1"/>
    <row r="6723" ht="18" customHeight="1"/>
    <row r="6724" ht="18" customHeight="1"/>
    <row r="6725" ht="18" customHeight="1"/>
    <row r="6726" ht="18" customHeight="1"/>
    <row r="6727" ht="18" customHeight="1"/>
    <row r="6728" ht="18" customHeight="1"/>
    <row r="6729" ht="18" customHeight="1"/>
    <row r="6730" ht="18" customHeight="1"/>
    <row r="6731" ht="18" customHeight="1"/>
    <row r="6732" ht="18" customHeight="1"/>
    <row r="6733" ht="18" customHeight="1"/>
    <row r="6734" ht="18" customHeight="1"/>
    <row r="6735" ht="18" customHeight="1"/>
    <row r="6736" ht="18" customHeight="1"/>
    <row r="6737" ht="18" customHeight="1"/>
    <row r="6738" ht="18" customHeight="1"/>
    <row r="6739" ht="18" customHeight="1"/>
    <row r="6740" ht="18" customHeight="1"/>
    <row r="6741" ht="18" customHeight="1"/>
    <row r="6742" ht="18" customHeight="1"/>
    <row r="6743" ht="18" customHeight="1"/>
    <row r="6744" ht="18" customHeight="1"/>
    <row r="6745" ht="18" customHeight="1"/>
    <row r="6746" ht="18" customHeight="1"/>
    <row r="6747" ht="18" customHeight="1"/>
    <row r="6748" ht="18" customHeight="1"/>
    <row r="6749" ht="18" customHeight="1"/>
    <row r="6750" ht="18" customHeight="1"/>
    <row r="6751" ht="18" customHeight="1"/>
    <row r="6752" ht="18" customHeight="1"/>
    <row r="6753" ht="18" customHeight="1"/>
    <row r="6754" ht="18" customHeight="1"/>
    <row r="6755" ht="18" customHeight="1"/>
    <row r="6756" ht="18" customHeight="1"/>
    <row r="6757" ht="18" customHeight="1"/>
    <row r="6758" ht="18" customHeight="1"/>
    <row r="6759" ht="18" customHeight="1"/>
    <row r="6760" ht="18" customHeight="1"/>
    <row r="6761" ht="18" customHeight="1"/>
    <row r="6762" ht="18" customHeight="1"/>
    <row r="6763" ht="18" customHeight="1"/>
    <row r="6764" ht="18" customHeight="1"/>
    <row r="6765" ht="18" customHeight="1"/>
    <row r="6766" ht="18" customHeight="1"/>
    <row r="6767" ht="18" customHeight="1"/>
    <row r="6768" ht="18" customHeight="1"/>
    <row r="6769" ht="18" customHeight="1"/>
    <row r="6770" ht="18" customHeight="1"/>
    <row r="6771" ht="18" customHeight="1"/>
    <row r="6772" ht="18" customHeight="1"/>
    <row r="6773" ht="18" customHeight="1"/>
    <row r="6774" ht="18" customHeight="1"/>
    <row r="6775" ht="18" customHeight="1"/>
    <row r="6776" ht="18" customHeight="1"/>
    <row r="6777" ht="18" customHeight="1"/>
    <row r="6778" ht="18" customHeight="1"/>
    <row r="6779" ht="18" customHeight="1"/>
    <row r="6780" ht="18" customHeight="1"/>
    <row r="6781" ht="18" customHeight="1"/>
    <row r="6782" ht="18" customHeight="1"/>
    <row r="6783" ht="18" customHeight="1"/>
    <row r="6784" ht="18" customHeight="1"/>
    <row r="6785" ht="18" customHeight="1"/>
    <row r="6786" ht="18" customHeight="1"/>
    <row r="6787" ht="18" customHeight="1"/>
    <row r="6788" ht="18" customHeight="1"/>
    <row r="6789" ht="18" customHeight="1"/>
    <row r="6790" ht="18" customHeight="1"/>
    <row r="6791" ht="18" customHeight="1"/>
    <row r="6792" ht="18" customHeight="1"/>
    <row r="6793" ht="18" customHeight="1"/>
    <row r="6794" ht="18" customHeight="1"/>
    <row r="6795" ht="18" customHeight="1"/>
    <row r="6796" ht="18" customHeight="1"/>
    <row r="6797" ht="18" customHeight="1"/>
    <row r="6798" ht="18" customHeight="1"/>
    <row r="6799" ht="18" customHeight="1"/>
    <row r="6800" ht="18" customHeight="1"/>
    <row r="6801" ht="18" customHeight="1"/>
    <row r="6802" ht="18" customHeight="1"/>
    <row r="6803" ht="18" customHeight="1"/>
    <row r="6804" ht="18" customHeight="1"/>
    <row r="6805" ht="18" customHeight="1"/>
    <row r="6806" ht="18" customHeight="1"/>
    <row r="6807" ht="18" customHeight="1"/>
    <row r="6808" ht="18" customHeight="1"/>
    <row r="6809" ht="18" customHeight="1"/>
    <row r="6810" ht="18" customHeight="1"/>
    <row r="6811" ht="18" customHeight="1"/>
    <row r="6812" ht="18" customHeight="1"/>
    <row r="6813" ht="18" customHeight="1"/>
    <row r="6814" ht="18" customHeight="1"/>
    <row r="6815" ht="18" customHeight="1"/>
    <row r="6816" ht="18" customHeight="1"/>
    <row r="6817" ht="18" customHeight="1"/>
    <row r="6818" ht="18" customHeight="1"/>
    <row r="6819" ht="18" customHeight="1"/>
    <row r="6820" ht="18" customHeight="1"/>
    <row r="6821" ht="18" customHeight="1"/>
    <row r="6822" ht="18" customHeight="1"/>
    <row r="6823" ht="18" customHeight="1"/>
    <row r="6824" ht="18" customHeight="1"/>
    <row r="6825" ht="18" customHeight="1"/>
    <row r="6826" ht="18" customHeight="1"/>
    <row r="6827" ht="18" customHeight="1"/>
    <row r="6828" ht="18" customHeight="1"/>
    <row r="6829" ht="18" customHeight="1"/>
    <row r="6830" ht="18" customHeight="1"/>
    <row r="6831" ht="18" customHeight="1"/>
    <row r="6832" ht="18" customHeight="1"/>
    <row r="6833" ht="18" customHeight="1"/>
    <row r="6834" ht="18" customHeight="1"/>
    <row r="6835" ht="18" customHeight="1"/>
    <row r="6836" ht="18" customHeight="1"/>
    <row r="6837" ht="18" customHeight="1"/>
    <row r="6838" ht="18" customHeight="1"/>
    <row r="6839" ht="18" customHeight="1"/>
    <row r="6840" ht="18" customHeight="1"/>
    <row r="6841" ht="18" customHeight="1"/>
    <row r="6842" ht="18" customHeight="1"/>
    <row r="6843" ht="18" customHeight="1"/>
    <row r="6844" ht="18" customHeight="1"/>
    <row r="6845" ht="18" customHeight="1"/>
    <row r="6846" ht="18" customHeight="1"/>
    <row r="6847" ht="18" customHeight="1"/>
    <row r="6848" ht="18" customHeight="1"/>
    <row r="6849" ht="18" customHeight="1"/>
    <row r="6850" ht="18" customHeight="1"/>
    <row r="6851" ht="18" customHeight="1"/>
    <row r="6852" ht="18" customHeight="1"/>
    <row r="6853" ht="18" customHeight="1"/>
    <row r="6854" ht="18" customHeight="1"/>
    <row r="6855" ht="18" customHeight="1"/>
    <row r="6856" ht="18" customHeight="1"/>
    <row r="6857" ht="18" customHeight="1"/>
    <row r="6858" ht="18" customHeight="1"/>
    <row r="6859" ht="18" customHeight="1"/>
    <row r="6860" ht="18" customHeight="1"/>
    <row r="6861" ht="18" customHeight="1"/>
    <row r="6862" ht="18" customHeight="1"/>
    <row r="6863" ht="18" customHeight="1"/>
    <row r="6864" ht="18" customHeight="1"/>
    <row r="6865" ht="18" customHeight="1"/>
    <row r="6866" ht="18" customHeight="1"/>
    <row r="6867" ht="18" customHeight="1"/>
    <row r="6868" ht="18" customHeight="1"/>
    <row r="6869" ht="18" customHeight="1"/>
    <row r="6870" ht="18" customHeight="1"/>
    <row r="6871" ht="18" customHeight="1"/>
    <row r="6872" ht="18" customHeight="1"/>
    <row r="6873" ht="18" customHeight="1"/>
    <row r="6874" ht="18" customHeight="1"/>
    <row r="6875" ht="18" customHeight="1"/>
    <row r="6876" ht="18" customHeight="1"/>
    <row r="6877" ht="18" customHeight="1"/>
    <row r="6878" ht="18" customHeight="1"/>
    <row r="6879" ht="18" customHeight="1"/>
    <row r="6880" ht="18" customHeight="1"/>
    <row r="6881" ht="18" customHeight="1"/>
    <row r="6882" ht="18" customHeight="1"/>
    <row r="6883" ht="18" customHeight="1"/>
    <row r="6884" ht="18" customHeight="1"/>
    <row r="6885" ht="18" customHeight="1"/>
    <row r="6886" ht="18" customHeight="1"/>
    <row r="6887" ht="18" customHeight="1"/>
    <row r="6888" ht="18" customHeight="1"/>
    <row r="6889" ht="18" customHeight="1"/>
    <row r="6890" ht="18" customHeight="1"/>
    <row r="6891" ht="18" customHeight="1"/>
    <row r="6892" ht="18" customHeight="1"/>
    <row r="6893" ht="18" customHeight="1"/>
    <row r="6894" ht="18" customHeight="1"/>
    <row r="6895" ht="18" customHeight="1"/>
    <row r="6896" ht="18" customHeight="1"/>
    <row r="6897" ht="18" customHeight="1"/>
    <row r="6898" ht="18" customHeight="1"/>
    <row r="6899" ht="18" customHeight="1"/>
    <row r="6900" ht="18" customHeight="1"/>
    <row r="6901" ht="18" customHeight="1"/>
    <row r="6902" ht="18" customHeight="1"/>
    <row r="6903" ht="18" customHeight="1"/>
    <row r="6904" ht="18" customHeight="1"/>
    <row r="6905" ht="18" customHeight="1"/>
    <row r="6906" ht="18" customHeight="1"/>
    <row r="6907" ht="18" customHeight="1"/>
    <row r="6908" ht="18" customHeight="1"/>
    <row r="6909" ht="18" customHeight="1"/>
    <row r="6910" ht="18" customHeight="1"/>
    <row r="6911" ht="18" customHeight="1"/>
    <row r="6912" ht="18" customHeight="1"/>
    <row r="6913" ht="18" customHeight="1"/>
    <row r="6914" ht="18" customHeight="1"/>
    <row r="6915" ht="18" customHeight="1"/>
    <row r="6916" ht="18" customHeight="1"/>
    <row r="6917" ht="18" customHeight="1"/>
    <row r="6918" ht="18" customHeight="1"/>
    <row r="6919" ht="18" customHeight="1"/>
    <row r="6920" ht="18" customHeight="1"/>
    <row r="6921" ht="18" customHeight="1"/>
    <row r="6922" ht="18" customHeight="1"/>
    <row r="6923" ht="18" customHeight="1"/>
    <row r="6924" ht="18" customHeight="1"/>
    <row r="6925" ht="18" customHeight="1"/>
    <row r="6926" ht="18" customHeight="1"/>
    <row r="6927" ht="18" customHeight="1"/>
    <row r="6928" ht="18" customHeight="1"/>
    <row r="6929" ht="18" customHeight="1"/>
    <row r="6930" ht="18" customHeight="1"/>
    <row r="6931" ht="18" customHeight="1"/>
    <row r="6932" ht="18" customHeight="1"/>
    <row r="6933" ht="18" customHeight="1"/>
    <row r="6934" ht="18" customHeight="1"/>
    <row r="6935" ht="18" customHeight="1"/>
    <row r="6936" ht="18" customHeight="1"/>
    <row r="6937" ht="18" customHeight="1"/>
    <row r="6938" ht="18" customHeight="1"/>
    <row r="6939" ht="18" customHeight="1"/>
    <row r="6940" ht="18" customHeight="1"/>
    <row r="6941" ht="18" customHeight="1"/>
    <row r="6942" ht="18" customHeight="1"/>
    <row r="6943" ht="18" customHeight="1"/>
    <row r="6944" ht="18" customHeight="1"/>
    <row r="6945" ht="18" customHeight="1"/>
    <row r="6946" ht="18" customHeight="1"/>
    <row r="6947" ht="18" customHeight="1"/>
    <row r="6948" ht="18" customHeight="1"/>
    <row r="6949" ht="18" customHeight="1"/>
    <row r="6950" ht="18" customHeight="1"/>
    <row r="6951" ht="18" customHeight="1"/>
    <row r="6952" ht="18" customHeight="1"/>
    <row r="6953" ht="18" customHeight="1"/>
    <row r="6954" ht="18" customHeight="1"/>
    <row r="6955" ht="18" customHeight="1"/>
    <row r="6956" ht="18" customHeight="1"/>
    <row r="6957" ht="18" customHeight="1"/>
    <row r="6958" ht="18" customHeight="1"/>
    <row r="6959" ht="18" customHeight="1"/>
    <row r="6960" ht="18" customHeight="1"/>
    <row r="6961" ht="18" customHeight="1"/>
    <row r="6962" ht="18" customHeight="1"/>
    <row r="6963" ht="18" customHeight="1"/>
    <row r="6964" ht="18" customHeight="1"/>
    <row r="6965" ht="18" customHeight="1"/>
    <row r="6966" ht="18" customHeight="1"/>
    <row r="6967" ht="18" customHeight="1"/>
    <row r="6968" ht="18" customHeight="1"/>
    <row r="6969" ht="18" customHeight="1"/>
    <row r="6970" ht="18" customHeight="1"/>
    <row r="6971" ht="18" customHeight="1"/>
    <row r="6972" ht="18" customHeight="1"/>
    <row r="6973" ht="18" customHeight="1"/>
    <row r="6974" ht="18" customHeight="1"/>
    <row r="6975" ht="18" customHeight="1"/>
    <row r="6976" ht="18" customHeight="1"/>
    <row r="6977" ht="18" customHeight="1"/>
    <row r="6978" ht="18" customHeight="1"/>
    <row r="6979" ht="18" customHeight="1"/>
    <row r="6980" ht="18" customHeight="1"/>
    <row r="6981" ht="18" customHeight="1"/>
    <row r="6982" ht="18" customHeight="1"/>
    <row r="6983" ht="18" customHeight="1"/>
    <row r="6984" ht="18" customHeight="1"/>
    <row r="6985" ht="18" customHeight="1"/>
    <row r="6986" ht="18" customHeight="1"/>
    <row r="6987" ht="18" customHeight="1"/>
    <row r="6988" ht="18" customHeight="1"/>
    <row r="6989" ht="18" customHeight="1"/>
    <row r="6990" ht="18" customHeight="1"/>
    <row r="6991" ht="18" customHeight="1"/>
    <row r="6992" ht="18" customHeight="1"/>
    <row r="6993" ht="18" customHeight="1"/>
    <row r="6994" ht="18" customHeight="1"/>
    <row r="6995" ht="18" customHeight="1"/>
    <row r="6996" ht="18" customHeight="1"/>
    <row r="6997" ht="18" customHeight="1"/>
    <row r="6998" ht="18" customHeight="1"/>
    <row r="6999" ht="18" customHeight="1"/>
    <row r="7000" ht="18" customHeight="1"/>
    <row r="7001" ht="18" customHeight="1"/>
    <row r="7002" ht="18" customHeight="1"/>
    <row r="7003" ht="18" customHeight="1"/>
    <row r="7004" ht="18" customHeight="1"/>
    <row r="7005" ht="18" customHeight="1"/>
    <row r="7006" ht="18" customHeight="1"/>
    <row r="7007" ht="18" customHeight="1"/>
    <row r="7008" ht="18" customHeight="1"/>
    <row r="7009" ht="18" customHeight="1"/>
    <row r="7010" ht="18" customHeight="1"/>
    <row r="7011" ht="18" customHeight="1"/>
    <row r="7012" ht="18" customHeight="1"/>
    <row r="7013" ht="18" customHeight="1"/>
    <row r="7014" ht="18" customHeight="1"/>
    <row r="7015" ht="18" customHeight="1"/>
    <row r="7016" ht="18" customHeight="1"/>
    <row r="7017" ht="18" customHeight="1"/>
    <row r="7018" ht="18" customHeight="1"/>
    <row r="7019" ht="18" customHeight="1"/>
    <row r="7020" ht="18" customHeight="1"/>
    <row r="7021" ht="18" customHeight="1"/>
    <row r="7022" ht="18" customHeight="1"/>
    <row r="7023" ht="18" customHeight="1"/>
    <row r="7024" ht="18" customHeight="1"/>
    <row r="7025" ht="18" customHeight="1"/>
    <row r="7026" ht="18" customHeight="1"/>
    <row r="7027" ht="18" customHeight="1"/>
    <row r="7028" ht="18" customHeight="1"/>
    <row r="7029" ht="18" customHeight="1"/>
    <row r="7030" ht="18" customHeight="1"/>
    <row r="7031" ht="18" customHeight="1"/>
    <row r="7032" ht="18" customHeight="1"/>
    <row r="7033" ht="18" customHeight="1"/>
    <row r="7034" ht="18" customHeight="1"/>
    <row r="7035" ht="18" customHeight="1"/>
    <row r="7036" ht="18" customHeight="1"/>
    <row r="7037" ht="18" customHeight="1"/>
    <row r="7038" ht="18" customHeight="1"/>
    <row r="7039" ht="18" customHeight="1"/>
    <row r="7040" ht="18" customHeight="1"/>
    <row r="7041" ht="18" customHeight="1"/>
    <row r="7042" ht="18" customHeight="1"/>
    <row r="7043" ht="18" customHeight="1"/>
    <row r="7044" ht="18" customHeight="1"/>
    <row r="7045" ht="18" customHeight="1"/>
    <row r="7046" ht="18" customHeight="1"/>
    <row r="7047" ht="18" customHeight="1"/>
    <row r="7048" ht="18" customHeight="1"/>
    <row r="7049" ht="18" customHeight="1"/>
    <row r="7050" ht="18" customHeight="1"/>
    <row r="7051" ht="18" customHeight="1"/>
    <row r="7052" ht="18" customHeight="1"/>
    <row r="7053" ht="18" customHeight="1"/>
    <row r="7054" ht="18" customHeight="1"/>
    <row r="7055" ht="18" customHeight="1"/>
    <row r="7056" ht="18" customHeight="1"/>
    <row r="7057" ht="18" customHeight="1"/>
    <row r="7058" ht="18" customHeight="1"/>
    <row r="7059" ht="18" customHeight="1"/>
    <row r="7060" ht="18" customHeight="1"/>
    <row r="7061" ht="18" customHeight="1"/>
    <row r="7062" ht="18" customHeight="1"/>
    <row r="7063" ht="18" customHeight="1"/>
    <row r="7064" ht="18" customHeight="1"/>
    <row r="7065" ht="18" customHeight="1"/>
    <row r="7066" ht="18" customHeight="1"/>
    <row r="7067" ht="18" customHeight="1"/>
    <row r="7068" ht="18" customHeight="1"/>
    <row r="7069" ht="18" customHeight="1"/>
    <row r="7070" ht="18" customHeight="1"/>
    <row r="7071" ht="18" customHeight="1"/>
    <row r="7072" ht="18" customHeight="1"/>
    <row r="7073" ht="18" customHeight="1"/>
    <row r="7074" ht="18" customHeight="1"/>
    <row r="7075" ht="18" customHeight="1"/>
    <row r="7076" ht="18" customHeight="1"/>
    <row r="7077" ht="18" customHeight="1"/>
    <row r="7078" ht="18" customHeight="1"/>
    <row r="7079" ht="18" customHeight="1"/>
    <row r="7080" ht="18" customHeight="1"/>
    <row r="7081" ht="18" customHeight="1"/>
    <row r="7082" ht="18" customHeight="1"/>
    <row r="7083" ht="18" customHeight="1"/>
    <row r="7084" ht="18" customHeight="1"/>
    <row r="7085" ht="18" customHeight="1"/>
    <row r="7086" ht="18" customHeight="1"/>
    <row r="7087" ht="18" customHeight="1"/>
    <row r="7088" ht="18" customHeight="1"/>
    <row r="7089" ht="18" customHeight="1"/>
    <row r="7090" ht="18" customHeight="1"/>
    <row r="7091" ht="18" customHeight="1"/>
    <row r="7092" ht="18" customHeight="1"/>
    <row r="7093" ht="18" customHeight="1"/>
    <row r="7094" ht="18" customHeight="1"/>
    <row r="7095" ht="18" customHeight="1"/>
    <row r="7096" ht="18" customHeight="1"/>
    <row r="7097" ht="18" customHeight="1"/>
    <row r="7098" ht="18" customHeight="1"/>
    <row r="7099" ht="18" customHeight="1"/>
    <row r="7100" ht="18" customHeight="1"/>
    <row r="7101" ht="18" customHeight="1"/>
    <row r="7102" ht="18" customHeight="1"/>
    <row r="7103" ht="18" customHeight="1"/>
    <row r="7104" ht="18" customHeight="1"/>
    <row r="7105" ht="18" customHeight="1"/>
    <row r="7106" ht="18" customHeight="1"/>
    <row r="7107" ht="18" customHeight="1"/>
    <row r="7108" ht="18" customHeight="1"/>
    <row r="7109" ht="18" customHeight="1"/>
    <row r="7110" ht="18" customHeight="1"/>
    <row r="7111" ht="18" customHeight="1"/>
    <row r="7112" ht="18" customHeight="1"/>
    <row r="7113" ht="18" customHeight="1"/>
    <row r="7114" ht="18" customHeight="1"/>
    <row r="7115" ht="18" customHeight="1"/>
    <row r="7116" ht="18" customHeight="1"/>
    <row r="7117" ht="18" customHeight="1"/>
    <row r="7118" ht="18" customHeight="1"/>
    <row r="7119" ht="18" customHeight="1"/>
    <row r="7120" ht="18" customHeight="1"/>
    <row r="7121" ht="18" customHeight="1"/>
    <row r="7122" ht="18" customHeight="1"/>
    <row r="7123" ht="18" customHeight="1"/>
    <row r="7124" ht="18" customHeight="1"/>
    <row r="7125" ht="18" customHeight="1"/>
    <row r="7126" ht="18" customHeight="1"/>
    <row r="7127" ht="18" customHeight="1"/>
    <row r="7128" ht="18" customHeight="1"/>
    <row r="7129" ht="18" customHeight="1"/>
    <row r="7130" ht="18" customHeight="1"/>
    <row r="7131" ht="18" customHeight="1"/>
    <row r="7132" ht="18" customHeight="1"/>
    <row r="7133" ht="18" customHeight="1"/>
    <row r="7134" ht="18" customHeight="1"/>
    <row r="7135" ht="18" customHeight="1"/>
    <row r="7136" ht="18" customHeight="1"/>
    <row r="7137" ht="18" customHeight="1"/>
    <row r="7138" ht="18" customHeight="1"/>
    <row r="7139" ht="18" customHeight="1"/>
    <row r="7140" ht="18" customHeight="1"/>
    <row r="7141" ht="18" customHeight="1"/>
    <row r="7142" ht="18" customHeight="1"/>
    <row r="7143" ht="18" customHeight="1"/>
    <row r="7144" ht="18" customHeight="1"/>
    <row r="7145" ht="18" customHeight="1"/>
    <row r="7146" ht="18" customHeight="1"/>
    <row r="7147" ht="18" customHeight="1"/>
    <row r="7148" ht="18" customHeight="1"/>
    <row r="7149" ht="18" customHeight="1"/>
    <row r="7150" ht="18" customHeight="1"/>
    <row r="7151" ht="18" customHeight="1"/>
    <row r="7152" ht="18" customHeight="1"/>
    <row r="7153" ht="18" customHeight="1"/>
    <row r="7154" ht="18" customHeight="1"/>
    <row r="7155" ht="18" customHeight="1"/>
    <row r="7156" ht="18" customHeight="1"/>
    <row r="7157" ht="18" customHeight="1"/>
    <row r="7158" ht="18" customHeight="1"/>
    <row r="7159" ht="18" customHeight="1"/>
    <row r="7160" ht="18" customHeight="1"/>
    <row r="7161" ht="18" customHeight="1"/>
    <row r="7162" ht="18" customHeight="1"/>
    <row r="7163" ht="18" customHeight="1"/>
    <row r="7164" ht="18" customHeight="1"/>
    <row r="7165" ht="18" customHeight="1"/>
    <row r="7166" ht="18" customHeight="1"/>
    <row r="7167" ht="18" customHeight="1"/>
    <row r="7168" ht="18" customHeight="1"/>
    <row r="7169" ht="18" customHeight="1"/>
    <row r="7170" ht="18" customHeight="1"/>
    <row r="7171" ht="18" customHeight="1"/>
    <row r="7172" ht="18" customHeight="1"/>
    <row r="7173" ht="18" customHeight="1"/>
    <row r="7174" ht="18" customHeight="1"/>
    <row r="7175" ht="18" customHeight="1"/>
    <row r="7176" ht="18" customHeight="1"/>
    <row r="7177" ht="18" customHeight="1"/>
    <row r="7178" ht="18" customHeight="1"/>
    <row r="7179" ht="18" customHeight="1"/>
    <row r="7180" ht="18" customHeight="1"/>
    <row r="7181" ht="18" customHeight="1"/>
    <row r="7182" ht="18" customHeight="1"/>
    <row r="7183" ht="18" customHeight="1"/>
    <row r="7184" ht="18" customHeight="1"/>
    <row r="7185" ht="18" customHeight="1"/>
    <row r="7186" ht="18" customHeight="1"/>
    <row r="7187" ht="18" customHeight="1"/>
    <row r="7188" ht="18" customHeight="1"/>
    <row r="7189" ht="18" customHeight="1"/>
    <row r="7190" ht="18" customHeight="1"/>
    <row r="7191" ht="18" customHeight="1"/>
    <row r="7192" ht="18" customHeight="1"/>
    <row r="7193" ht="18" customHeight="1"/>
    <row r="7194" ht="18" customHeight="1"/>
    <row r="7195" ht="18" customHeight="1"/>
    <row r="7196" ht="18" customHeight="1"/>
    <row r="7197" ht="18" customHeight="1"/>
    <row r="7198" ht="18" customHeight="1"/>
    <row r="7199" ht="18" customHeight="1"/>
    <row r="7200" ht="18" customHeight="1"/>
    <row r="7201" ht="18" customHeight="1"/>
    <row r="7202" ht="18" customHeight="1"/>
    <row r="7203" ht="18" customHeight="1"/>
    <row r="7204" ht="18" customHeight="1"/>
    <row r="7205" ht="18" customHeight="1"/>
    <row r="7206" ht="18" customHeight="1"/>
    <row r="7207" ht="18" customHeight="1"/>
    <row r="7208" ht="18" customHeight="1"/>
    <row r="7209" ht="18" customHeight="1"/>
    <row r="7210" ht="18" customHeight="1"/>
    <row r="7211" ht="18" customHeight="1"/>
    <row r="7212" ht="18" customHeight="1"/>
    <row r="7213" ht="18" customHeight="1"/>
    <row r="7214" ht="18" customHeight="1"/>
    <row r="7215" ht="18" customHeight="1"/>
    <row r="7216" ht="18" customHeight="1"/>
    <row r="7217" ht="18" customHeight="1"/>
    <row r="7218" ht="18" customHeight="1"/>
    <row r="7219" ht="18" customHeight="1"/>
    <row r="7220" ht="18" customHeight="1"/>
    <row r="7221" ht="18" customHeight="1"/>
    <row r="7222" ht="18" customHeight="1"/>
    <row r="7223" ht="18" customHeight="1"/>
    <row r="7224" ht="18" customHeight="1"/>
    <row r="7225" ht="18" customHeight="1"/>
    <row r="7226" ht="18" customHeight="1"/>
    <row r="7227" ht="18" customHeight="1"/>
    <row r="7228" ht="18" customHeight="1"/>
    <row r="7229" ht="18" customHeight="1"/>
    <row r="7230" ht="18" customHeight="1"/>
    <row r="7231" ht="18" customHeight="1"/>
    <row r="7232" ht="18" customHeight="1"/>
    <row r="7233" ht="18" customHeight="1"/>
    <row r="7234" ht="18" customHeight="1"/>
    <row r="7235" ht="18" customHeight="1"/>
    <row r="7236" ht="18" customHeight="1"/>
    <row r="7237" ht="18" customHeight="1"/>
    <row r="7238" ht="18" customHeight="1"/>
    <row r="7239" ht="18" customHeight="1"/>
    <row r="7240" ht="18" customHeight="1"/>
    <row r="7241" ht="18" customHeight="1"/>
    <row r="7242" ht="18" customHeight="1"/>
    <row r="7243" ht="18" customHeight="1"/>
    <row r="7244" ht="18" customHeight="1"/>
    <row r="7245" ht="18" customHeight="1"/>
    <row r="7246" ht="18" customHeight="1"/>
    <row r="7247" ht="18" customHeight="1"/>
    <row r="7248" ht="18" customHeight="1"/>
    <row r="7249" ht="18" customHeight="1"/>
    <row r="7250" ht="18" customHeight="1"/>
    <row r="7251" ht="18" customHeight="1"/>
    <row r="7252" ht="18" customHeight="1"/>
    <row r="7253" ht="18" customHeight="1"/>
    <row r="7254" ht="18" customHeight="1"/>
    <row r="7255" ht="18" customHeight="1"/>
    <row r="7256" ht="18" customHeight="1"/>
    <row r="7257" ht="18" customHeight="1"/>
    <row r="7258" ht="18" customHeight="1"/>
    <row r="7259" ht="18" customHeight="1"/>
    <row r="7260" ht="18" customHeight="1"/>
    <row r="7261" ht="18" customHeight="1"/>
    <row r="7262" ht="18" customHeight="1"/>
    <row r="7263" ht="18" customHeight="1"/>
    <row r="7264" ht="18" customHeight="1"/>
    <row r="7265" ht="18" customHeight="1"/>
    <row r="7266" ht="18" customHeight="1"/>
    <row r="7267" ht="18" customHeight="1"/>
    <row r="7268" ht="18" customHeight="1"/>
    <row r="7269" ht="18" customHeight="1"/>
    <row r="7270" ht="18" customHeight="1"/>
    <row r="7271" ht="18" customHeight="1"/>
    <row r="7272" ht="18" customHeight="1"/>
    <row r="7273" ht="18" customHeight="1"/>
    <row r="7274" ht="18" customHeight="1"/>
    <row r="7275" ht="18" customHeight="1"/>
    <row r="7276" ht="18" customHeight="1"/>
    <row r="7277" ht="18" customHeight="1"/>
    <row r="7278" ht="18" customHeight="1"/>
    <row r="7279" ht="18" customHeight="1"/>
    <row r="7280" ht="18" customHeight="1"/>
    <row r="7281" ht="18" customHeight="1"/>
    <row r="7282" ht="18" customHeight="1"/>
    <row r="7283" ht="18" customHeight="1"/>
    <row r="7284" ht="18" customHeight="1"/>
    <row r="7285" ht="18" customHeight="1"/>
    <row r="7286" ht="18" customHeight="1"/>
    <row r="7287" ht="18" customHeight="1"/>
    <row r="7288" ht="18" customHeight="1"/>
    <row r="7289" ht="18" customHeight="1"/>
    <row r="7290" ht="18" customHeight="1"/>
    <row r="7291" ht="18" customHeight="1"/>
    <row r="7292" ht="18" customHeight="1"/>
    <row r="7293" ht="18" customHeight="1"/>
    <row r="7294" ht="18" customHeight="1"/>
    <row r="7295" ht="18" customHeight="1"/>
    <row r="7296" ht="18" customHeight="1"/>
    <row r="7297" ht="18" customHeight="1"/>
    <row r="7298" ht="18" customHeight="1"/>
    <row r="7299" ht="18" customHeight="1"/>
    <row r="7300" ht="18" customHeight="1"/>
    <row r="7301" ht="18" customHeight="1"/>
    <row r="7302" ht="18" customHeight="1"/>
    <row r="7303" ht="18" customHeight="1"/>
    <row r="7304" ht="18" customHeight="1"/>
    <row r="7305" ht="18" customHeight="1"/>
    <row r="7306" ht="18" customHeight="1"/>
    <row r="7307" ht="18" customHeight="1"/>
    <row r="7308" ht="18" customHeight="1"/>
    <row r="7309" ht="18" customHeight="1"/>
    <row r="7310" ht="18" customHeight="1"/>
    <row r="7311" ht="18" customHeight="1"/>
    <row r="7312" ht="18" customHeight="1"/>
    <row r="7313" ht="18" customHeight="1"/>
    <row r="7314" ht="18" customHeight="1"/>
    <row r="7315" ht="18" customHeight="1"/>
    <row r="7316" ht="18" customHeight="1"/>
    <row r="7317" ht="18" customHeight="1"/>
    <row r="7318" ht="18" customHeight="1"/>
    <row r="7319" ht="18" customHeight="1"/>
    <row r="7320" ht="18" customHeight="1"/>
    <row r="7321" ht="18" customHeight="1"/>
    <row r="7322" ht="18" customHeight="1"/>
    <row r="7323" ht="18" customHeight="1"/>
    <row r="7324" ht="18" customHeight="1"/>
    <row r="7325" ht="18" customHeight="1"/>
    <row r="7326" ht="18" customHeight="1"/>
    <row r="7327" ht="18" customHeight="1"/>
    <row r="7328" ht="18" customHeight="1"/>
    <row r="7329" ht="18" customHeight="1"/>
    <row r="7330" ht="18" customHeight="1"/>
    <row r="7331" ht="18" customHeight="1"/>
    <row r="7332" ht="18" customHeight="1"/>
    <row r="7333" ht="18" customHeight="1"/>
    <row r="7334" ht="18" customHeight="1"/>
    <row r="7335" ht="18" customHeight="1"/>
    <row r="7336" ht="18" customHeight="1"/>
    <row r="7337" ht="18" customHeight="1"/>
    <row r="7338" ht="18" customHeight="1"/>
    <row r="7339" ht="18" customHeight="1"/>
    <row r="7340" ht="18" customHeight="1"/>
    <row r="7341" ht="18" customHeight="1"/>
    <row r="7342" ht="18" customHeight="1"/>
    <row r="7343" ht="18" customHeight="1"/>
    <row r="7344" ht="18" customHeight="1"/>
    <row r="7345" ht="18" customHeight="1"/>
    <row r="7346" ht="18" customHeight="1"/>
    <row r="7347" ht="18" customHeight="1"/>
    <row r="7348" ht="18" customHeight="1"/>
    <row r="7349" ht="18" customHeight="1"/>
    <row r="7350" ht="18" customHeight="1"/>
    <row r="7351" ht="18" customHeight="1"/>
    <row r="7352" ht="18" customHeight="1"/>
    <row r="7353" ht="18" customHeight="1"/>
    <row r="7354" ht="18" customHeight="1"/>
    <row r="7355" ht="18" customHeight="1"/>
    <row r="7356" ht="18" customHeight="1"/>
    <row r="7357" ht="18" customHeight="1"/>
    <row r="7358" ht="18" customHeight="1"/>
    <row r="7359" ht="18" customHeight="1"/>
    <row r="7360" ht="18" customHeight="1"/>
    <row r="7361" ht="18" customHeight="1"/>
    <row r="7362" ht="18" customHeight="1"/>
    <row r="7363" ht="18" customHeight="1"/>
    <row r="7364" ht="18" customHeight="1"/>
    <row r="7365" ht="18" customHeight="1"/>
    <row r="7366" ht="18" customHeight="1"/>
    <row r="7367" ht="18" customHeight="1"/>
    <row r="7368" ht="18" customHeight="1"/>
    <row r="7369" ht="18" customHeight="1"/>
    <row r="7370" ht="18" customHeight="1"/>
    <row r="7371" ht="18" customHeight="1"/>
    <row r="7372" ht="18" customHeight="1"/>
    <row r="7373" ht="18" customHeight="1"/>
    <row r="7374" ht="18" customHeight="1"/>
    <row r="7375" ht="18" customHeight="1"/>
    <row r="7376" ht="18" customHeight="1"/>
    <row r="7377" ht="18" customHeight="1"/>
    <row r="7378" ht="18" customHeight="1"/>
    <row r="7379" ht="18" customHeight="1"/>
    <row r="7380" ht="18" customHeight="1"/>
    <row r="7381" ht="18" customHeight="1"/>
    <row r="7382" ht="18" customHeight="1"/>
    <row r="7383" ht="18" customHeight="1"/>
    <row r="7384" ht="18" customHeight="1"/>
    <row r="7385" ht="18" customHeight="1"/>
    <row r="7386" ht="18" customHeight="1"/>
    <row r="7387" ht="18" customHeight="1"/>
    <row r="7388" ht="18" customHeight="1"/>
    <row r="7389" ht="18" customHeight="1"/>
    <row r="7390" ht="18" customHeight="1"/>
    <row r="7391" ht="18" customHeight="1"/>
    <row r="7392" ht="18" customHeight="1"/>
    <row r="7393" ht="18" customHeight="1"/>
    <row r="7394" ht="18" customHeight="1"/>
    <row r="7395" ht="18" customHeight="1"/>
    <row r="7396" ht="18" customHeight="1"/>
    <row r="7397" ht="18" customHeight="1"/>
    <row r="7398" ht="18" customHeight="1"/>
    <row r="7399" ht="18" customHeight="1"/>
    <row r="7400" ht="18" customHeight="1"/>
    <row r="7401" ht="18" customHeight="1"/>
    <row r="7402" ht="18" customHeight="1"/>
    <row r="7403" ht="18" customHeight="1"/>
    <row r="7404" ht="18" customHeight="1"/>
    <row r="7405" ht="18" customHeight="1"/>
    <row r="7406" ht="18" customHeight="1"/>
    <row r="7407" ht="18" customHeight="1"/>
    <row r="7408" ht="18" customHeight="1"/>
    <row r="7409" ht="18" customHeight="1"/>
    <row r="7410" ht="18" customHeight="1"/>
    <row r="7411" ht="18" customHeight="1"/>
    <row r="7412" ht="18" customHeight="1"/>
    <row r="7413" ht="18" customHeight="1"/>
    <row r="7414" ht="18" customHeight="1"/>
    <row r="7415" ht="18" customHeight="1"/>
    <row r="7416" ht="18" customHeight="1"/>
    <row r="7417" ht="18" customHeight="1"/>
    <row r="7418" ht="18" customHeight="1"/>
    <row r="7419" ht="18" customHeight="1"/>
    <row r="7420" ht="18" customHeight="1"/>
    <row r="7421" ht="18" customHeight="1"/>
    <row r="7422" ht="18" customHeight="1"/>
    <row r="7423" ht="18" customHeight="1"/>
    <row r="7424" ht="18" customHeight="1"/>
    <row r="7425" ht="18" customHeight="1"/>
    <row r="7426" ht="18" customHeight="1"/>
    <row r="7427" ht="18" customHeight="1"/>
    <row r="7428" ht="18" customHeight="1"/>
    <row r="7429" ht="18" customHeight="1"/>
    <row r="7430" ht="18" customHeight="1"/>
    <row r="7431" ht="18" customHeight="1"/>
    <row r="7432" ht="18" customHeight="1"/>
    <row r="7433" ht="18" customHeight="1"/>
    <row r="7434" ht="18" customHeight="1"/>
    <row r="7435" ht="18" customHeight="1"/>
    <row r="7436" ht="18" customHeight="1"/>
    <row r="7437" ht="18" customHeight="1"/>
    <row r="7438" ht="18" customHeight="1"/>
    <row r="7439" ht="18" customHeight="1"/>
    <row r="7440" ht="18" customHeight="1"/>
    <row r="7441" ht="18" customHeight="1"/>
    <row r="7442" ht="18" customHeight="1"/>
    <row r="7443" ht="18" customHeight="1"/>
    <row r="7444" ht="18" customHeight="1"/>
    <row r="7445" ht="18" customHeight="1"/>
    <row r="7446" ht="18" customHeight="1"/>
    <row r="7447" ht="18" customHeight="1"/>
    <row r="7448" ht="18" customHeight="1"/>
    <row r="7449" ht="18" customHeight="1"/>
    <row r="7450" ht="18" customHeight="1"/>
    <row r="7451" ht="18" customHeight="1"/>
    <row r="7452" ht="18" customHeight="1"/>
    <row r="7453" ht="18" customHeight="1"/>
    <row r="7454" ht="18" customHeight="1"/>
    <row r="7455" ht="18" customHeight="1"/>
    <row r="7456" ht="18" customHeight="1"/>
    <row r="7457" ht="18" customHeight="1"/>
    <row r="7458" ht="18" customHeight="1"/>
    <row r="7459" ht="18" customHeight="1"/>
    <row r="7460" ht="18" customHeight="1"/>
    <row r="7461" ht="18" customHeight="1"/>
    <row r="7462" ht="18" customHeight="1"/>
    <row r="7463" ht="18" customHeight="1"/>
    <row r="7464" ht="18" customHeight="1"/>
    <row r="7465" ht="18" customHeight="1"/>
    <row r="7466" ht="18" customHeight="1"/>
    <row r="7467" ht="18" customHeight="1"/>
    <row r="7468" ht="18" customHeight="1"/>
    <row r="7469" ht="18" customHeight="1"/>
    <row r="7470" ht="18" customHeight="1"/>
    <row r="7471" ht="18" customHeight="1"/>
    <row r="7472" ht="18" customHeight="1"/>
    <row r="7473" ht="18" customHeight="1"/>
    <row r="7474" ht="18" customHeight="1"/>
    <row r="7475" ht="18" customHeight="1"/>
    <row r="7476" ht="18" customHeight="1"/>
    <row r="7477" ht="18" customHeight="1"/>
    <row r="7478" ht="18" customHeight="1"/>
    <row r="7479" ht="18" customHeight="1"/>
    <row r="7480" ht="18" customHeight="1"/>
    <row r="7481" ht="18" customHeight="1"/>
    <row r="7482" ht="18" customHeight="1"/>
    <row r="7483" ht="18" customHeight="1"/>
    <row r="7484" ht="18" customHeight="1"/>
    <row r="7485" ht="18" customHeight="1"/>
    <row r="7486" ht="18" customHeight="1"/>
    <row r="7487" ht="18" customHeight="1"/>
    <row r="7488" ht="18" customHeight="1"/>
    <row r="7489" ht="18" customHeight="1"/>
    <row r="7490" ht="18" customHeight="1"/>
    <row r="7491" ht="18" customHeight="1"/>
    <row r="7492" ht="18" customHeight="1"/>
    <row r="7493" ht="18" customHeight="1"/>
    <row r="7494" ht="18" customHeight="1"/>
    <row r="7495" ht="18" customHeight="1"/>
    <row r="7496" ht="18" customHeight="1"/>
    <row r="7497" ht="18" customHeight="1"/>
    <row r="7498" ht="18" customHeight="1"/>
    <row r="7499" ht="18" customHeight="1"/>
    <row r="7500" ht="18" customHeight="1"/>
    <row r="7501" ht="18" customHeight="1"/>
    <row r="7502" ht="18" customHeight="1"/>
    <row r="7503" ht="18" customHeight="1"/>
    <row r="7504" ht="18" customHeight="1"/>
    <row r="7505" ht="18" customHeight="1"/>
    <row r="7506" ht="18" customHeight="1"/>
    <row r="7507" ht="18" customHeight="1"/>
    <row r="7508" ht="18" customHeight="1"/>
    <row r="7509" ht="18" customHeight="1"/>
    <row r="7510" ht="18" customHeight="1"/>
    <row r="7511" ht="18" customHeight="1"/>
    <row r="7512" ht="18" customHeight="1"/>
    <row r="7513" ht="18" customHeight="1"/>
    <row r="7514" ht="18" customHeight="1"/>
    <row r="7515" ht="18" customHeight="1"/>
    <row r="7516" ht="18" customHeight="1"/>
    <row r="7517" ht="18" customHeight="1"/>
    <row r="7518" ht="18" customHeight="1"/>
    <row r="7519" ht="18" customHeight="1"/>
    <row r="7520" ht="18" customHeight="1"/>
    <row r="7521" ht="18" customHeight="1"/>
    <row r="7522" ht="18" customHeight="1"/>
    <row r="7523" ht="18" customHeight="1"/>
    <row r="7524" ht="18" customHeight="1"/>
    <row r="7525" ht="18" customHeight="1"/>
    <row r="7526" ht="18" customHeight="1"/>
    <row r="7527" ht="18" customHeight="1"/>
    <row r="7528" ht="18" customHeight="1"/>
    <row r="7529" ht="18" customHeight="1"/>
    <row r="7530" ht="18" customHeight="1"/>
    <row r="7531" ht="18" customHeight="1"/>
    <row r="7532" ht="18" customHeight="1"/>
    <row r="7533" ht="18" customHeight="1"/>
    <row r="7534" ht="18" customHeight="1"/>
    <row r="7535" ht="18" customHeight="1"/>
    <row r="7536" ht="18" customHeight="1"/>
    <row r="7537" ht="18" customHeight="1"/>
    <row r="7538" ht="18" customHeight="1"/>
    <row r="7539" ht="18" customHeight="1"/>
    <row r="7540" ht="18" customHeight="1"/>
    <row r="7541" ht="18" customHeight="1"/>
    <row r="7542" ht="18" customHeight="1"/>
    <row r="7543" ht="18" customHeight="1"/>
    <row r="7544" ht="18" customHeight="1"/>
    <row r="7545" ht="18" customHeight="1"/>
    <row r="7546" ht="18" customHeight="1"/>
    <row r="7547" ht="18" customHeight="1"/>
    <row r="7548" ht="18" customHeight="1"/>
    <row r="7549" ht="18" customHeight="1"/>
    <row r="7550" ht="18" customHeight="1"/>
    <row r="7551" ht="18" customHeight="1"/>
    <row r="7552" ht="18" customHeight="1"/>
    <row r="7553" ht="18" customHeight="1"/>
    <row r="7554" ht="18" customHeight="1"/>
    <row r="7555" ht="18" customHeight="1"/>
    <row r="7556" ht="18" customHeight="1"/>
    <row r="7557" ht="18" customHeight="1"/>
    <row r="7558" ht="18" customHeight="1"/>
    <row r="7559" ht="18" customHeight="1"/>
    <row r="7560" ht="18" customHeight="1"/>
    <row r="7561" ht="18" customHeight="1"/>
    <row r="7562" ht="18" customHeight="1"/>
    <row r="7563" ht="18" customHeight="1"/>
    <row r="7564" ht="18" customHeight="1"/>
    <row r="7565" ht="18" customHeight="1"/>
    <row r="7566" ht="18" customHeight="1"/>
    <row r="7567" ht="18" customHeight="1"/>
    <row r="7568" ht="18" customHeight="1"/>
    <row r="7569" ht="18" customHeight="1"/>
    <row r="7570" ht="18" customHeight="1"/>
    <row r="7571" ht="18" customHeight="1"/>
    <row r="7572" ht="18" customHeight="1"/>
    <row r="7573" ht="18" customHeight="1"/>
    <row r="7574" ht="18" customHeight="1"/>
    <row r="7575" ht="18" customHeight="1"/>
    <row r="7576" ht="18" customHeight="1"/>
    <row r="7577" ht="18" customHeight="1"/>
    <row r="7578" ht="18" customHeight="1"/>
    <row r="7579" ht="18" customHeight="1"/>
    <row r="7580" ht="18" customHeight="1"/>
    <row r="7581" ht="18" customHeight="1"/>
    <row r="7582" ht="18" customHeight="1"/>
    <row r="7583" ht="18" customHeight="1"/>
    <row r="7584" ht="18" customHeight="1"/>
    <row r="7585" ht="18" customHeight="1"/>
    <row r="7586" ht="18" customHeight="1"/>
    <row r="7587" ht="18" customHeight="1"/>
    <row r="7588" ht="18" customHeight="1"/>
    <row r="7589" ht="18" customHeight="1"/>
    <row r="7590" ht="18" customHeight="1"/>
    <row r="7591" ht="18" customHeight="1"/>
    <row r="7592" ht="18" customHeight="1"/>
    <row r="7593" ht="18" customHeight="1"/>
    <row r="7594" ht="18" customHeight="1"/>
    <row r="7595" ht="18" customHeight="1"/>
    <row r="7596" ht="18" customHeight="1"/>
    <row r="7597" ht="18" customHeight="1"/>
    <row r="7598" ht="18" customHeight="1"/>
    <row r="7599" ht="18" customHeight="1"/>
    <row r="7600" ht="18" customHeight="1"/>
    <row r="7601" ht="18" customHeight="1"/>
    <row r="7602" ht="18" customHeight="1"/>
    <row r="7603" ht="18" customHeight="1"/>
    <row r="7604" ht="18" customHeight="1"/>
    <row r="7605" ht="18" customHeight="1"/>
    <row r="7606" ht="18" customHeight="1"/>
    <row r="7607" ht="18" customHeight="1"/>
    <row r="7608" ht="18" customHeight="1"/>
    <row r="7609" ht="18" customHeight="1"/>
    <row r="7610" ht="18" customHeight="1"/>
    <row r="7611" ht="18" customHeight="1"/>
    <row r="7612" ht="18" customHeight="1"/>
    <row r="7613" ht="18" customHeight="1"/>
    <row r="7614" ht="18" customHeight="1"/>
    <row r="7615" ht="18" customHeight="1"/>
    <row r="7616" ht="18" customHeight="1"/>
    <row r="7617" ht="18" customHeight="1"/>
    <row r="7618" ht="18" customHeight="1"/>
    <row r="7619" ht="18" customHeight="1"/>
    <row r="7620" ht="18" customHeight="1"/>
    <row r="7621" ht="18" customHeight="1"/>
    <row r="7622" ht="18" customHeight="1"/>
    <row r="7623" ht="18" customHeight="1"/>
    <row r="7624" ht="18" customHeight="1"/>
    <row r="7625" ht="18" customHeight="1"/>
    <row r="7626" ht="18" customHeight="1"/>
    <row r="7627" ht="18" customHeight="1"/>
    <row r="7628" ht="18" customHeight="1"/>
    <row r="7629" ht="18" customHeight="1"/>
    <row r="7630" ht="18" customHeight="1"/>
    <row r="7631" ht="18" customHeight="1"/>
    <row r="7632" ht="18" customHeight="1"/>
    <row r="7633" ht="18" customHeight="1"/>
    <row r="7634" ht="18" customHeight="1"/>
    <row r="7635" ht="18" customHeight="1"/>
    <row r="7636" ht="18" customHeight="1"/>
    <row r="7637" ht="18" customHeight="1"/>
    <row r="7638" ht="18" customHeight="1"/>
    <row r="7639" ht="18" customHeight="1"/>
    <row r="7640" ht="18" customHeight="1"/>
    <row r="7641" ht="18" customHeight="1"/>
    <row r="7642" ht="18" customHeight="1"/>
    <row r="7643" ht="18" customHeight="1"/>
    <row r="7644" ht="18" customHeight="1"/>
    <row r="7645" ht="18" customHeight="1"/>
    <row r="7646" ht="18" customHeight="1"/>
    <row r="7647" ht="18" customHeight="1"/>
    <row r="7648" ht="18" customHeight="1"/>
    <row r="7649" ht="18" customHeight="1"/>
    <row r="7650" ht="18" customHeight="1"/>
    <row r="7651" ht="18" customHeight="1"/>
    <row r="7652" ht="18" customHeight="1"/>
    <row r="7653" ht="18" customHeight="1"/>
    <row r="7654" ht="18" customHeight="1"/>
    <row r="7655" ht="18" customHeight="1"/>
    <row r="7656" ht="18" customHeight="1"/>
    <row r="7657" ht="18" customHeight="1"/>
    <row r="7658" ht="18" customHeight="1"/>
    <row r="7659" ht="18" customHeight="1"/>
    <row r="7660" ht="18" customHeight="1"/>
    <row r="7661" ht="18" customHeight="1"/>
    <row r="7662" ht="18" customHeight="1"/>
    <row r="7663" ht="18" customHeight="1"/>
    <row r="7664" ht="18" customHeight="1"/>
    <row r="7665" ht="18" customHeight="1"/>
    <row r="7666" ht="18" customHeight="1"/>
    <row r="7667" ht="18" customHeight="1"/>
    <row r="7668" ht="18" customHeight="1"/>
    <row r="7669" ht="18" customHeight="1"/>
    <row r="7670" ht="18" customHeight="1"/>
    <row r="7671" ht="18" customHeight="1"/>
    <row r="7672" ht="18" customHeight="1"/>
    <row r="7673" ht="18" customHeight="1"/>
    <row r="7674" ht="18" customHeight="1"/>
    <row r="7675" ht="18" customHeight="1"/>
    <row r="7676" ht="18" customHeight="1"/>
    <row r="7677" ht="18" customHeight="1"/>
    <row r="7678" ht="18" customHeight="1"/>
    <row r="7679" ht="18" customHeight="1"/>
    <row r="7680" ht="18" customHeight="1"/>
    <row r="7681" ht="18" customHeight="1"/>
    <row r="7682" ht="18" customHeight="1"/>
    <row r="7683" ht="18" customHeight="1"/>
    <row r="7684" ht="18" customHeight="1"/>
    <row r="7685" ht="18" customHeight="1"/>
    <row r="7686" ht="18" customHeight="1"/>
    <row r="7687" ht="18" customHeight="1"/>
    <row r="7688" ht="18" customHeight="1"/>
    <row r="7689" ht="18" customHeight="1"/>
    <row r="7690" ht="18" customHeight="1"/>
    <row r="7691" ht="18" customHeight="1"/>
    <row r="7692" ht="18" customHeight="1"/>
    <row r="7693" ht="18" customHeight="1"/>
    <row r="7694" ht="18" customHeight="1"/>
    <row r="7695" ht="18" customHeight="1"/>
    <row r="7696" ht="18" customHeight="1"/>
    <row r="7697" ht="18" customHeight="1"/>
    <row r="7698" ht="18" customHeight="1"/>
    <row r="7699" ht="18" customHeight="1"/>
    <row r="7700" ht="18" customHeight="1"/>
    <row r="7701" ht="18" customHeight="1"/>
    <row r="7702" ht="18" customHeight="1"/>
    <row r="7703" ht="18" customHeight="1"/>
    <row r="7704" ht="18" customHeight="1"/>
    <row r="7705" ht="18" customHeight="1"/>
    <row r="7706" ht="18" customHeight="1"/>
    <row r="7707" ht="18" customHeight="1"/>
    <row r="7708" ht="18" customHeight="1"/>
    <row r="7709" ht="18" customHeight="1"/>
    <row r="7710" ht="18" customHeight="1"/>
    <row r="7711" ht="18" customHeight="1"/>
    <row r="7712" ht="18" customHeight="1"/>
    <row r="7713" ht="18" customHeight="1"/>
    <row r="7714" ht="18" customHeight="1"/>
    <row r="7715" ht="18" customHeight="1"/>
    <row r="7716" ht="18" customHeight="1"/>
    <row r="7717" ht="18" customHeight="1"/>
    <row r="7718" ht="18" customHeight="1"/>
    <row r="7719" ht="18" customHeight="1"/>
    <row r="7720" ht="18" customHeight="1"/>
    <row r="7721" ht="18" customHeight="1"/>
    <row r="7722" ht="18" customHeight="1"/>
    <row r="7723" ht="18" customHeight="1"/>
    <row r="7724" ht="18" customHeight="1"/>
    <row r="7725" ht="18" customHeight="1"/>
    <row r="7726" ht="18" customHeight="1"/>
    <row r="7727" ht="18" customHeight="1"/>
    <row r="7728" ht="18" customHeight="1"/>
    <row r="7729" ht="18" customHeight="1"/>
    <row r="7730" ht="18" customHeight="1"/>
    <row r="7731" ht="18" customHeight="1"/>
    <row r="7732" ht="18" customHeight="1"/>
    <row r="7733" ht="18" customHeight="1"/>
    <row r="7734" ht="18" customHeight="1"/>
    <row r="7735" ht="18" customHeight="1"/>
    <row r="7736" ht="18" customHeight="1"/>
    <row r="7737" ht="18" customHeight="1"/>
    <row r="7738" ht="18" customHeight="1"/>
    <row r="7739" ht="18" customHeight="1"/>
    <row r="7740" ht="18" customHeight="1"/>
    <row r="7741" ht="18" customHeight="1"/>
    <row r="7742" ht="18" customHeight="1"/>
    <row r="7743" ht="18" customHeight="1"/>
    <row r="7744" ht="18" customHeight="1"/>
    <row r="7745" ht="18" customHeight="1"/>
    <row r="7746" ht="18" customHeight="1"/>
    <row r="7747" ht="18" customHeight="1"/>
    <row r="7748" ht="18" customHeight="1"/>
    <row r="7749" ht="18" customHeight="1"/>
    <row r="7750" ht="18" customHeight="1"/>
    <row r="7751" ht="18" customHeight="1"/>
    <row r="7752" ht="18" customHeight="1"/>
    <row r="7753" ht="18" customHeight="1"/>
    <row r="7754" ht="18" customHeight="1"/>
    <row r="7755" ht="18" customHeight="1"/>
    <row r="7756" ht="18" customHeight="1"/>
    <row r="7757" ht="18" customHeight="1"/>
    <row r="7758" ht="18" customHeight="1"/>
    <row r="7759" ht="18" customHeight="1"/>
    <row r="7760" ht="18" customHeight="1"/>
    <row r="7761" ht="18" customHeight="1"/>
    <row r="7762" ht="18" customHeight="1"/>
    <row r="7763" ht="18" customHeight="1"/>
    <row r="7764" ht="18" customHeight="1"/>
    <row r="7765" ht="18" customHeight="1"/>
    <row r="7766" ht="18" customHeight="1"/>
    <row r="7767" ht="18" customHeight="1"/>
    <row r="7768" ht="18" customHeight="1"/>
    <row r="7769" ht="18" customHeight="1"/>
    <row r="7770" ht="18" customHeight="1"/>
    <row r="7771" ht="18" customHeight="1"/>
    <row r="7772" ht="18" customHeight="1"/>
    <row r="7773" ht="18" customHeight="1"/>
    <row r="7774" ht="18" customHeight="1"/>
    <row r="7775" ht="18" customHeight="1"/>
    <row r="7776" ht="18" customHeight="1"/>
    <row r="7777" ht="18" customHeight="1"/>
    <row r="7778" ht="18" customHeight="1"/>
    <row r="7779" ht="18" customHeight="1"/>
    <row r="7780" ht="18" customHeight="1"/>
    <row r="7781" ht="18" customHeight="1"/>
    <row r="7782" ht="18" customHeight="1"/>
    <row r="7783" ht="18" customHeight="1"/>
    <row r="7784" ht="18" customHeight="1"/>
    <row r="7785" ht="18" customHeight="1"/>
    <row r="7786" ht="18" customHeight="1"/>
    <row r="7787" ht="18" customHeight="1"/>
    <row r="7788" ht="18" customHeight="1"/>
    <row r="7789" ht="18" customHeight="1"/>
    <row r="7790" ht="18" customHeight="1"/>
    <row r="7791" ht="18" customHeight="1"/>
    <row r="7792" ht="18" customHeight="1"/>
    <row r="7793" ht="18" customHeight="1"/>
    <row r="7794" ht="18" customHeight="1"/>
    <row r="7795" ht="18" customHeight="1"/>
    <row r="7796" ht="18" customHeight="1"/>
    <row r="7797" ht="18" customHeight="1"/>
    <row r="7798" ht="18" customHeight="1"/>
    <row r="7799" ht="18" customHeight="1"/>
    <row r="7800" ht="18" customHeight="1"/>
    <row r="7801" ht="18" customHeight="1"/>
    <row r="7802" ht="18" customHeight="1"/>
    <row r="7803" ht="18" customHeight="1"/>
    <row r="7804" ht="18" customHeight="1"/>
    <row r="7805" ht="18" customHeight="1"/>
    <row r="7806" ht="18" customHeight="1"/>
    <row r="7807" ht="18" customHeight="1"/>
    <row r="7808" ht="18" customHeight="1"/>
    <row r="7809" ht="18" customHeight="1"/>
    <row r="7810" ht="18" customHeight="1"/>
    <row r="7811" ht="18" customHeight="1"/>
    <row r="7812" ht="18" customHeight="1"/>
    <row r="7813" ht="18" customHeight="1"/>
    <row r="7814" ht="18" customHeight="1"/>
    <row r="7815" ht="18" customHeight="1"/>
    <row r="7816" ht="18" customHeight="1"/>
    <row r="7817" ht="18" customHeight="1"/>
    <row r="7818" ht="18" customHeight="1"/>
    <row r="7819" ht="18" customHeight="1"/>
    <row r="7820" ht="18" customHeight="1"/>
    <row r="7821" ht="18" customHeight="1"/>
    <row r="7822" ht="18" customHeight="1"/>
    <row r="7823" ht="18" customHeight="1"/>
    <row r="7824" ht="18" customHeight="1"/>
    <row r="7825" ht="18" customHeight="1"/>
    <row r="7826" ht="18" customHeight="1"/>
    <row r="7827" ht="18" customHeight="1"/>
    <row r="7828" ht="18" customHeight="1"/>
    <row r="7829" ht="18" customHeight="1"/>
    <row r="7830" ht="18" customHeight="1"/>
    <row r="7831" ht="18" customHeight="1"/>
    <row r="7832" ht="18" customHeight="1"/>
    <row r="7833" ht="18" customHeight="1"/>
    <row r="7834" ht="18" customHeight="1"/>
    <row r="7835" ht="18" customHeight="1"/>
    <row r="7836" ht="18" customHeight="1"/>
    <row r="7837" ht="18" customHeight="1"/>
    <row r="7838" ht="18" customHeight="1"/>
    <row r="7839" ht="18" customHeight="1"/>
    <row r="7840" ht="18" customHeight="1"/>
    <row r="7841" ht="18" customHeight="1"/>
    <row r="7842" ht="18" customHeight="1"/>
    <row r="7843" ht="18" customHeight="1"/>
    <row r="7844" ht="18" customHeight="1"/>
    <row r="7845" ht="18" customHeight="1"/>
    <row r="7846" ht="18" customHeight="1"/>
    <row r="7847" ht="18" customHeight="1"/>
    <row r="7848" ht="18" customHeight="1"/>
    <row r="7849" ht="18" customHeight="1"/>
    <row r="7850" ht="18" customHeight="1"/>
    <row r="7851" ht="18" customHeight="1"/>
    <row r="7852" ht="18" customHeight="1"/>
    <row r="7853" ht="18" customHeight="1"/>
    <row r="7854" ht="18" customHeight="1"/>
    <row r="7855" ht="18" customHeight="1"/>
    <row r="7856" ht="18" customHeight="1"/>
    <row r="7857" ht="18" customHeight="1"/>
    <row r="7858" ht="18" customHeight="1"/>
    <row r="7859" ht="18" customHeight="1"/>
    <row r="7860" ht="18" customHeight="1"/>
    <row r="7861" ht="18" customHeight="1"/>
    <row r="7862" ht="18" customHeight="1"/>
    <row r="7863" ht="18" customHeight="1"/>
    <row r="7864" ht="18" customHeight="1"/>
    <row r="7865" ht="18" customHeight="1"/>
    <row r="7866" ht="18" customHeight="1"/>
    <row r="7867" ht="18" customHeight="1"/>
    <row r="7868" ht="18" customHeight="1"/>
    <row r="7869" ht="18" customHeight="1"/>
    <row r="7870" ht="18" customHeight="1"/>
    <row r="7871" ht="18" customHeight="1"/>
    <row r="7872" ht="18" customHeight="1"/>
    <row r="7873" ht="18" customHeight="1"/>
    <row r="7874" ht="18" customHeight="1"/>
    <row r="7875" ht="18" customHeight="1"/>
    <row r="7876" ht="18" customHeight="1"/>
    <row r="7877" ht="18" customHeight="1"/>
    <row r="7878" ht="18" customHeight="1"/>
    <row r="7879" ht="18" customHeight="1"/>
    <row r="7880" ht="18" customHeight="1"/>
    <row r="7881" ht="18" customHeight="1"/>
    <row r="7882" ht="18" customHeight="1"/>
    <row r="7883" ht="18" customHeight="1"/>
    <row r="7884" ht="18" customHeight="1"/>
    <row r="7885" ht="18" customHeight="1"/>
    <row r="7886" ht="18" customHeight="1"/>
    <row r="7887" ht="18" customHeight="1"/>
    <row r="7888" ht="18" customHeight="1"/>
    <row r="7889" ht="18" customHeight="1"/>
    <row r="7890" ht="18" customHeight="1"/>
    <row r="7891" ht="18" customHeight="1"/>
    <row r="7892" ht="18" customHeight="1"/>
    <row r="7893" ht="18" customHeight="1"/>
    <row r="7894" ht="18" customHeight="1"/>
    <row r="7895" ht="18" customHeight="1"/>
    <row r="7896" ht="18" customHeight="1"/>
    <row r="7897" ht="18" customHeight="1"/>
    <row r="7898" ht="18" customHeight="1"/>
    <row r="7899" ht="18" customHeight="1"/>
    <row r="7900" ht="18" customHeight="1"/>
    <row r="7901" ht="18" customHeight="1"/>
    <row r="7902" ht="18" customHeight="1"/>
    <row r="7903" ht="18" customHeight="1"/>
    <row r="7904" ht="18" customHeight="1"/>
    <row r="7905" ht="18" customHeight="1"/>
    <row r="7906" ht="18" customHeight="1"/>
    <row r="7907" ht="18" customHeight="1"/>
    <row r="7908" ht="18" customHeight="1"/>
    <row r="7909" ht="18" customHeight="1"/>
    <row r="7910" ht="18" customHeight="1"/>
    <row r="7911" ht="18" customHeight="1"/>
    <row r="7912" ht="18" customHeight="1"/>
    <row r="7913" ht="18" customHeight="1"/>
    <row r="7914" ht="18" customHeight="1"/>
    <row r="7915" ht="18" customHeight="1"/>
    <row r="7916" ht="18" customHeight="1"/>
    <row r="7917" ht="18" customHeight="1"/>
    <row r="7918" ht="18" customHeight="1"/>
    <row r="7919" ht="18" customHeight="1"/>
    <row r="7920" ht="18" customHeight="1"/>
    <row r="7921" ht="18" customHeight="1"/>
    <row r="7922" ht="18" customHeight="1"/>
    <row r="7923" ht="18" customHeight="1"/>
    <row r="7924" ht="18" customHeight="1"/>
    <row r="7925" ht="18" customHeight="1"/>
    <row r="7926" ht="18" customHeight="1"/>
    <row r="7927" ht="18" customHeight="1"/>
    <row r="7928" ht="18" customHeight="1"/>
    <row r="7929" ht="18" customHeight="1"/>
    <row r="7930" ht="18" customHeight="1"/>
    <row r="7931" ht="18" customHeight="1"/>
    <row r="7932" ht="18" customHeight="1"/>
    <row r="7933" ht="18" customHeight="1"/>
    <row r="7934" ht="18" customHeight="1"/>
    <row r="7935" ht="18" customHeight="1"/>
    <row r="7936" ht="18" customHeight="1"/>
    <row r="7937" ht="18" customHeight="1"/>
    <row r="7938" ht="18" customHeight="1"/>
    <row r="7939" ht="18" customHeight="1"/>
    <row r="7940" ht="18" customHeight="1"/>
    <row r="7941" ht="18" customHeight="1"/>
    <row r="7942" ht="18" customHeight="1"/>
    <row r="7943" ht="18" customHeight="1"/>
    <row r="7944" ht="18" customHeight="1"/>
    <row r="7945" ht="18" customHeight="1"/>
    <row r="7946" ht="18" customHeight="1"/>
    <row r="7947" ht="18" customHeight="1"/>
    <row r="7948" ht="18" customHeight="1"/>
    <row r="7949" ht="18" customHeight="1"/>
    <row r="7950" ht="18" customHeight="1"/>
    <row r="7951" ht="18" customHeight="1"/>
    <row r="7952" ht="18" customHeight="1"/>
    <row r="7953" ht="18" customHeight="1"/>
    <row r="7954" ht="18" customHeight="1"/>
    <row r="7955" ht="18" customHeight="1"/>
    <row r="7956" ht="18" customHeight="1"/>
    <row r="7957" ht="18" customHeight="1"/>
    <row r="7958" ht="18" customHeight="1"/>
    <row r="7959" ht="18" customHeight="1"/>
    <row r="7960" ht="18" customHeight="1"/>
    <row r="7961" ht="18" customHeight="1"/>
    <row r="7962" ht="18" customHeight="1"/>
    <row r="7963" ht="18" customHeight="1"/>
    <row r="7964" ht="18" customHeight="1"/>
    <row r="7965" ht="18" customHeight="1"/>
    <row r="7966" ht="18" customHeight="1"/>
    <row r="7967" ht="18" customHeight="1"/>
    <row r="7968" ht="18" customHeight="1"/>
    <row r="7969" ht="18" customHeight="1"/>
    <row r="7970" ht="18" customHeight="1"/>
    <row r="7971" ht="18" customHeight="1"/>
    <row r="7972" ht="18" customHeight="1"/>
    <row r="7973" ht="18" customHeight="1"/>
    <row r="7974" ht="18" customHeight="1"/>
    <row r="7975" ht="18" customHeight="1"/>
    <row r="7976" ht="18" customHeight="1"/>
    <row r="7977" ht="18" customHeight="1"/>
    <row r="7978" ht="18" customHeight="1"/>
    <row r="7979" ht="18" customHeight="1"/>
    <row r="7980" ht="18" customHeight="1"/>
    <row r="7981" ht="18" customHeight="1"/>
    <row r="7982" ht="18" customHeight="1"/>
    <row r="7983" ht="18" customHeight="1"/>
    <row r="7984" ht="18" customHeight="1"/>
    <row r="7985" ht="18" customHeight="1"/>
    <row r="7986" ht="18" customHeight="1"/>
    <row r="7987" ht="18" customHeight="1"/>
    <row r="7988" ht="18" customHeight="1"/>
    <row r="7989" ht="18" customHeight="1"/>
    <row r="7990" ht="18" customHeight="1"/>
    <row r="7991" ht="18" customHeight="1"/>
    <row r="7992" ht="18" customHeight="1"/>
    <row r="7993" ht="18" customHeight="1"/>
    <row r="7994" ht="18" customHeight="1"/>
    <row r="7995" ht="18" customHeight="1"/>
    <row r="7996" ht="18" customHeight="1"/>
    <row r="7997" ht="18" customHeight="1"/>
    <row r="7998" ht="18" customHeight="1"/>
    <row r="7999" ht="18" customHeight="1"/>
    <row r="8000" ht="18" customHeight="1"/>
    <row r="8001" ht="18" customHeight="1"/>
    <row r="8002" ht="18" customHeight="1"/>
    <row r="8003" ht="18" customHeight="1"/>
    <row r="8004" ht="18" customHeight="1"/>
    <row r="8005" ht="18" customHeight="1"/>
    <row r="8006" ht="18" customHeight="1"/>
    <row r="8007" ht="18" customHeight="1"/>
    <row r="8008" ht="18" customHeight="1"/>
    <row r="8009" ht="18" customHeight="1"/>
    <row r="8010" ht="18" customHeight="1"/>
    <row r="8011" ht="18" customHeight="1"/>
    <row r="8012" ht="18" customHeight="1"/>
    <row r="8013" ht="18" customHeight="1"/>
    <row r="8014" ht="18" customHeight="1"/>
    <row r="8015" ht="18" customHeight="1"/>
    <row r="8016" ht="18" customHeight="1"/>
    <row r="8017" ht="18" customHeight="1"/>
    <row r="8018" ht="18" customHeight="1"/>
    <row r="8019" ht="18" customHeight="1"/>
    <row r="8020" ht="18" customHeight="1"/>
    <row r="8021" ht="18" customHeight="1"/>
    <row r="8022" ht="18" customHeight="1"/>
    <row r="8023" ht="18" customHeight="1"/>
    <row r="8024" ht="18" customHeight="1"/>
    <row r="8025" ht="18" customHeight="1"/>
    <row r="8026" ht="18" customHeight="1"/>
    <row r="8027" ht="18" customHeight="1"/>
    <row r="8028" ht="18" customHeight="1"/>
    <row r="8029" ht="18" customHeight="1"/>
    <row r="8030" ht="18" customHeight="1"/>
    <row r="8031" ht="18" customHeight="1"/>
    <row r="8032" ht="18" customHeight="1"/>
    <row r="8033" ht="18" customHeight="1"/>
    <row r="8034" ht="18" customHeight="1"/>
    <row r="8035" ht="18" customHeight="1"/>
    <row r="8036" ht="18" customHeight="1"/>
    <row r="8037" ht="18" customHeight="1"/>
    <row r="8038" ht="18" customHeight="1"/>
    <row r="8039" ht="18" customHeight="1"/>
    <row r="8040" ht="18" customHeight="1"/>
    <row r="8041" ht="18" customHeight="1"/>
    <row r="8042" ht="18" customHeight="1"/>
    <row r="8043" ht="18" customHeight="1"/>
    <row r="8044" ht="18" customHeight="1"/>
    <row r="8045" ht="18" customHeight="1"/>
    <row r="8046" ht="18" customHeight="1"/>
    <row r="8047" ht="18" customHeight="1"/>
    <row r="8048" ht="18" customHeight="1"/>
    <row r="8049" ht="18" customHeight="1"/>
    <row r="8050" ht="18" customHeight="1"/>
    <row r="8051" ht="18" customHeight="1"/>
    <row r="8052" ht="18" customHeight="1"/>
    <row r="8053" ht="18" customHeight="1"/>
    <row r="8054" ht="18" customHeight="1"/>
    <row r="8055" ht="18" customHeight="1"/>
    <row r="8056" ht="18" customHeight="1"/>
    <row r="8057" ht="18" customHeight="1"/>
    <row r="8058" ht="18" customHeight="1"/>
    <row r="8059" ht="18" customHeight="1"/>
    <row r="8060" ht="18" customHeight="1"/>
    <row r="8061" ht="18" customHeight="1"/>
    <row r="8062" ht="18" customHeight="1"/>
    <row r="8063" ht="18" customHeight="1"/>
    <row r="8064" ht="18" customHeight="1"/>
    <row r="8065" ht="18" customHeight="1"/>
    <row r="8066" ht="18" customHeight="1"/>
    <row r="8067" ht="18" customHeight="1"/>
    <row r="8068" ht="18" customHeight="1"/>
    <row r="8069" ht="18" customHeight="1"/>
    <row r="8070" ht="18" customHeight="1"/>
    <row r="8071" ht="18" customHeight="1"/>
    <row r="8072" ht="18" customHeight="1"/>
    <row r="8073" ht="18" customHeight="1"/>
    <row r="8074" ht="18" customHeight="1"/>
    <row r="8075" ht="18" customHeight="1"/>
    <row r="8076" ht="18" customHeight="1"/>
    <row r="8077" ht="18" customHeight="1"/>
    <row r="8078" ht="18" customHeight="1"/>
    <row r="8079" ht="18" customHeight="1"/>
    <row r="8080" ht="18" customHeight="1"/>
    <row r="8081" ht="18" customHeight="1"/>
    <row r="8082" ht="18" customHeight="1"/>
    <row r="8083" ht="18" customHeight="1"/>
    <row r="8084" ht="18" customHeight="1"/>
    <row r="8085" ht="18" customHeight="1"/>
    <row r="8086" ht="18" customHeight="1"/>
    <row r="8087" ht="18" customHeight="1"/>
    <row r="8088" ht="18" customHeight="1"/>
    <row r="8089" ht="18" customHeight="1"/>
    <row r="8090" ht="18" customHeight="1"/>
    <row r="8091" ht="18" customHeight="1"/>
    <row r="8092" ht="18" customHeight="1"/>
    <row r="8093" ht="18" customHeight="1"/>
    <row r="8094" ht="18" customHeight="1"/>
    <row r="8095" ht="18" customHeight="1"/>
    <row r="8096" ht="18" customHeight="1"/>
    <row r="8097" ht="18" customHeight="1"/>
    <row r="8098" ht="18" customHeight="1"/>
    <row r="8099" ht="18" customHeight="1"/>
    <row r="8100" ht="18" customHeight="1"/>
    <row r="8101" ht="18" customHeight="1"/>
    <row r="8102" ht="18" customHeight="1"/>
    <row r="8103" ht="18" customHeight="1"/>
    <row r="8104" ht="18" customHeight="1"/>
    <row r="8105" ht="18" customHeight="1"/>
    <row r="8106" ht="18" customHeight="1"/>
    <row r="8107" ht="18" customHeight="1"/>
    <row r="8108" ht="18" customHeight="1"/>
    <row r="8109" ht="18" customHeight="1"/>
    <row r="8110" ht="18" customHeight="1"/>
    <row r="8111" ht="18" customHeight="1"/>
    <row r="8112" ht="18" customHeight="1"/>
    <row r="8113" ht="18" customHeight="1"/>
    <row r="8114" ht="18" customHeight="1"/>
    <row r="8115" ht="18" customHeight="1"/>
    <row r="8116" ht="18" customHeight="1"/>
    <row r="8117" ht="18" customHeight="1"/>
    <row r="8118" ht="18" customHeight="1"/>
    <row r="8119" ht="18" customHeight="1"/>
    <row r="8120" ht="18" customHeight="1"/>
    <row r="8121" ht="18" customHeight="1"/>
    <row r="8122" ht="18" customHeight="1"/>
    <row r="8123" ht="18" customHeight="1"/>
    <row r="8124" ht="18" customHeight="1"/>
    <row r="8125" ht="18" customHeight="1"/>
    <row r="8126" ht="18" customHeight="1"/>
    <row r="8127" ht="18" customHeight="1"/>
    <row r="8128" ht="18" customHeight="1"/>
    <row r="8129" ht="18" customHeight="1"/>
    <row r="8130" ht="18" customHeight="1"/>
    <row r="8131" ht="18" customHeight="1"/>
    <row r="8132" ht="18" customHeight="1"/>
    <row r="8133" ht="18" customHeight="1"/>
    <row r="8134" ht="18" customHeight="1"/>
    <row r="8135" ht="18" customHeight="1"/>
    <row r="8136" ht="18" customHeight="1"/>
    <row r="8137" ht="18" customHeight="1"/>
    <row r="8138" ht="18" customHeight="1"/>
    <row r="8139" ht="18" customHeight="1"/>
    <row r="8140" ht="18" customHeight="1"/>
    <row r="8141" ht="18" customHeight="1"/>
    <row r="8142" ht="18" customHeight="1"/>
    <row r="8143" ht="18" customHeight="1"/>
    <row r="8144" ht="18" customHeight="1"/>
    <row r="8145" ht="18" customHeight="1"/>
    <row r="8146" ht="18" customHeight="1"/>
    <row r="8147" ht="18" customHeight="1"/>
    <row r="8148" ht="18" customHeight="1"/>
    <row r="8149" ht="18" customHeight="1"/>
    <row r="8150" ht="18" customHeight="1"/>
    <row r="8151" ht="18" customHeight="1"/>
    <row r="8152" ht="18" customHeight="1"/>
    <row r="8153" ht="18" customHeight="1"/>
    <row r="8154" ht="18" customHeight="1"/>
    <row r="8155" ht="18" customHeight="1"/>
    <row r="8156" ht="18" customHeight="1"/>
    <row r="8157" ht="18" customHeight="1"/>
    <row r="8158" ht="18" customHeight="1"/>
    <row r="8159" ht="18" customHeight="1"/>
    <row r="8160" ht="18" customHeight="1"/>
    <row r="8161" ht="18" customHeight="1"/>
    <row r="8162" ht="18" customHeight="1"/>
    <row r="8163" ht="18" customHeight="1"/>
    <row r="8164" ht="18" customHeight="1"/>
    <row r="8165" ht="18" customHeight="1"/>
    <row r="8166" ht="18" customHeight="1"/>
    <row r="8167" ht="18" customHeight="1"/>
    <row r="8168" ht="18" customHeight="1"/>
    <row r="8169" ht="18" customHeight="1"/>
    <row r="8170" ht="18" customHeight="1"/>
    <row r="8171" ht="18" customHeight="1"/>
    <row r="8172" ht="18" customHeight="1"/>
    <row r="8173" ht="18" customHeight="1"/>
    <row r="8174" ht="18" customHeight="1"/>
    <row r="8175" ht="18" customHeight="1"/>
    <row r="8176" ht="18" customHeight="1"/>
    <row r="8177" ht="18" customHeight="1"/>
    <row r="8178" ht="18" customHeight="1"/>
    <row r="8179" ht="18" customHeight="1"/>
    <row r="8180" ht="18" customHeight="1"/>
    <row r="8181" ht="18" customHeight="1"/>
    <row r="8182" ht="18" customHeight="1"/>
    <row r="8183" ht="18" customHeight="1"/>
    <row r="8184" ht="18" customHeight="1"/>
    <row r="8185" ht="18" customHeight="1"/>
    <row r="8186" ht="18" customHeight="1"/>
    <row r="8187" ht="18" customHeight="1"/>
    <row r="8188" ht="18" customHeight="1"/>
    <row r="8189" ht="18" customHeight="1"/>
    <row r="8190" ht="18" customHeight="1"/>
    <row r="8191" ht="18" customHeight="1"/>
    <row r="8192" ht="18" customHeight="1"/>
    <row r="8193" ht="18" customHeight="1"/>
    <row r="8194" ht="18" customHeight="1"/>
    <row r="8195" ht="18" customHeight="1"/>
    <row r="8196" ht="18" customHeight="1"/>
    <row r="8197" ht="18" customHeight="1"/>
    <row r="8198" ht="18" customHeight="1"/>
    <row r="8199" ht="18" customHeight="1"/>
    <row r="8200" ht="18" customHeight="1"/>
    <row r="8201" ht="18" customHeight="1"/>
    <row r="8202" ht="18" customHeight="1"/>
    <row r="8203" ht="18" customHeight="1"/>
    <row r="8204" ht="18" customHeight="1"/>
    <row r="8205" ht="18" customHeight="1"/>
    <row r="8206" ht="18" customHeight="1"/>
    <row r="8207" ht="18" customHeight="1"/>
    <row r="8208" ht="18" customHeight="1"/>
    <row r="8209" ht="18" customHeight="1"/>
    <row r="8210" ht="18" customHeight="1"/>
    <row r="8211" ht="18" customHeight="1"/>
    <row r="8212" ht="18" customHeight="1"/>
    <row r="8213" ht="18" customHeight="1"/>
    <row r="8214" ht="18" customHeight="1"/>
    <row r="8215" ht="18" customHeight="1"/>
    <row r="8216" ht="18" customHeight="1"/>
    <row r="8217" ht="18" customHeight="1"/>
    <row r="8218" ht="18" customHeight="1"/>
    <row r="8219" ht="18" customHeight="1"/>
    <row r="8220" ht="18" customHeight="1"/>
    <row r="8221" ht="18" customHeight="1"/>
    <row r="8222" ht="18" customHeight="1"/>
    <row r="8223" ht="18" customHeight="1"/>
    <row r="8224" ht="18" customHeight="1"/>
    <row r="8225" ht="18" customHeight="1"/>
    <row r="8226" ht="18" customHeight="1"/>
    <row r="8227" ht="18" customHeight="1"/>
    <row r="8228" ht="18" customHeight="1"/>
    <row r="8229" ht="18" customHeight="1"/>
    <row r="8230" ht="18" customHeight="1"/>
    <row r="8231" ht="18" customHeight="1"/>
    <row r="8232" ht="18" customHeight="1"/>
    <row r="8233" ht="18" customHeight="1"/>
    <row r="8234" ht="18" customHeight="1"/>
    <row r="8235" ht="18" customHeight="1"/>
    <row r="8236" ht="18" customHeight="1"/>
    <row r="8237" ht="18" customHeight="1"/>
    <row r="8238" ht="18" customHeight="1"/>
    <row r="8239" ht="18" customHeight="1"/>
    <row r="8240" ht="18" customHeight="1"/>
    <row r="8241" ht="18" customHeight="1"/>
    <row r="8242" ht="18" customHeight="1"/>
    <row r="8243" ht="18" customHeight="1"/>
    <row r="8244" ht="18" customHeight="1"/>
    <row r="8245" ht="18" customHeight="1"/>
    <row r="8246" ht="18" customHeight="1"/>
    <row r="8247" ht="18" customHeight="1"/>
    <row r="8248" ht="18" customHeight="1"/>
    <row r="8249" ht="18" customHeight="1"/>
    <row r="8250" ht="18" customHeight="1"/>
    <row r="8251" ht="18" customHeight="1"/>
    <row r="8252" ht="18" customHeight="1"/>
    <row r="8253" ht="18" customHeight="1"/>
    <row r="8254" ht="18" customHeight="1"/>
    <row r="8255" ht="18" customHeight="1"/>
    <row r="8256" ht="18" customHeight="1"/>
    <row r="8257" ht="18" customHeight="1"/>
    <row r="8258" ht="18" customHeight="1"/>
    <row r="8259" ht="18" customHeight="1"/>
    <row r="8260" ht="18" customHeight="1"/>
    <row r="8261" ht="18" customHeight="1"/>
    <row r="8262" ht="18" customHeight="1"/>
    <row r="8263" ht="18" customHeight="1"/>
    <row r="8264" ht="18" customHeight="1"/>
    <row r="8265" ht="18" customHeight="1"/>
    <row r="8266" ht="18" customHeight="1"/>
    <row r="8267" ht="18" customHeight="1"/>
    <row r="8268" ht="18" customHeight="1"/>
    <row r="8269" ht="18" customHeight="1"/>
    <row r="8270" ht="18" customHeight="1"/>
    <row r="8271" ht="18" customHeight="1"/>
    <row r="8272" ht="18" customHeight="1"/>
    <row r="8273" ht="18" customHeight="1"/>
    <row r="8274" ht="18" customHeight="1"/>
    <row r="8275" ht="18" customHeight="1"/>
    <row r="8276" ht="18" customHeight="1"/>
    <row r="8277" ht="18" customHeight="1"/>
    <row r="8278" ht="18" customHeight="1"/>
    <row r="8279" ht="18" customHeight="1"/>
    <row r="8280" ht="18" customHeight="1"/>
    <row r="8281" ht="18" customHeight="1"/>
    <row r="8282" ht="18" customHeight="1"/>
    <row r="8283" ht="18" customHeight="1"/>
    <row r="8284" ht="18" customHeight="1"/>
    <row r="8285" ht="18" customHeight="1"/>
    <row r="8286" ht="18" customHeight="1"/>
    <row r="8287" ht="18" customHeight="1"/>
    <row r="8288" ht="18" customHeight="1"/>
    <row r="8289" ht="18" customHeight="1"/>
    <row r="8290" ht="18" customHeight="1"/>
    <row r="8291" ht="18" customHeight="1"/>
    <row r="8292" ht="18" customHeight="1"/>
    <row r="8293" ht="18" customHeight="1"/>
    <row r="8294" ht="18" customHeight="1"/>
    <row r="8295" ht="18" customHeight="1"/>
    <row r="8296" ht="18" customHeight="1"/>
    <row r="8297" ht="18" customHeight="1"/>
    <row r="8298" ht="18" customHeight="1"/>
    <row r="8299" ht="18" customHeight="1"/>
    <row r="8300" ht="18" customHeight="1"/>
    <row r="8301" ht="18" customHeight="1"/>
    <row r="8302" ht="18" customHeight="1"/>
    <row r="8303" ht="18" customHeight="1"/>
    <row r="8304" ht="18" customHeight="1"/>
    <row r="8305" ht="18" customHeight="1"/>
    <row r="8306" ht="18" customHeight="1"/>
    <row r="8307" ht="18" customHeight="1"/>
    <row r="8308" ht="18" customHeight="1"/>
    <row r="8309" ht="18" customHeight="1"/>
    <row r="8310" ht="18" customHeight="1"/>
    <row r="8311" ht="18" customHeight="1"/>
    <row r="8312" ht="18" customHeight="1"/>
    <row r="8313" ht="18" customHeight="1"/>
    <row r="8314" ht="18" customHeight="1"/>
    <row r="8315" ht="18" customHeight="1"/>
    <row r="8316" ht="18" customHeight="1"/>
    <row r="8317" ht="18" customHeight="1"/>
    <row r="8318" ht="18" customHeight="1"/>
    <row r="8319" ht="18" customHeight="1"/>
    <row r="8320" ht="18" customHeight="1"/>
    <row r="8321" ht="18" customHeight="1"/>
    <row r="8322" ht="18" customHeight="1"/>
    <row r="8323" ht="18" customHeight="1"/>
    <row r="8324" ht="18" customHeight="1"/>
    <row r="8325" ht="18" customHeight="1"/>
    <row r="8326" ht="18" customHeight="1"/>
    <row r="8327" ht="18" customHeight="1"/>
    <row r="8328" ht="18" customHeight="1"/>
    <row r="8329" ht="18" customHeight="1"/>
    <row r="8330" ht="18" customHeight="1"/>
    <row r="8331" ht="18" customHeight="1"/>
    <row r="8332" ht="18" customHeight="1"/>
    <row r="8333" ht="18" customHeight="1"/>
    <row r="8334" ht="18" customHeight="1"/>
    <row r="8335" ht="18" customHeight="1"/>
    <row r="8336" ht="18" customHeight="1"/>
    <row r="8337" ht="18" customHeight="1"/>
    <row r="8338" ht="18" customHeight="1"/>
    <row r="8339" ht="18" customHeight="1"/>
    <row r="8340" ht="18" customHeight="1"/>
    <row r="8341" ht="18" customHeight="1"/>
    <row r="8342" ht="18" customHeight="1"/>
    <row r="8343" ht="18" customHeight="1"/>
    <row r="8344" ht="18" customHeight="1"/>
    <row r="8345" ht="18" customHeight="1"/>
    <row r="8346" ht="18" customHeight="1"/>
    <row r="8347" ht="18" customHeight="1"/>
    <row r="8348" ht="18" customHeight="1"/>
    <row r="8349" ht="18" customHeight="1"/>
    <row r="8350" ht="18" customHeight="1"/>
    <row r="8351" ht="18" customHeight="1"/>
    <row r="8352" ht="18" customHeight="1"/>
    <row r="8353" ht="18" customHeight="1"/>
    <row r="8354" ht="18" customHeight="1"/>
    <row r="8355" ht="18" customHeight="1"/>
    <row r="8356" ht="18" customHeight="1"/>
    <row r="8357" ht="18" customHeight="1"/>
    <row r="8358" ht="18" customHeight="1"/>
    <row r="8359" ht="18" customHeight="1"/>
    <row r="8360" ht="18" customHeight="1"/>
    <row r="8361" ht="18" customHeight="1"/>
    <row r="8362" ht="18" customHeight="1"/>
    <row r="8363" ht="18" customHeight="1"/>
    <row r="8364" ht="18" customHeight="1"/>
    <row r="8365" ht="18" customHeight="1"/>
    <row r="8366" ht="18" customHeight="1"/>
    <row r="8367" ht="18" customHeight="1"/>
    <row r="8368" ht="18" customHeight="1"/>
    <row r="8369" ht="18" customHeight="1"/>
    <row r="8370" ht="18" customHeight="1"/>
    <row r="8371" ht="18" customHeight="1"/>
    <row r="8372" ht="18" customHeight="1"/>
    <row r="8373" ht="18" customHeight="1"/>
    <row r="8374" ht="18" customHeight="1"/>
    <row r="8375" ht="18" customHeight="1"/>
    <row r="8376" ht="18" customHeight="1"/>
    <row r="8377" ht="18" customHeight="1"/>
    <row r="8378" ht="18" customHeight="1"/>
    <row r="8379" ht="18" customHeight="1"/>
    <row r="8380" ht="18" customHeight="1"/>
    <row r="8381" ht="18" customHeight="1"/>
    <row r="8382" ht="18" customHeight="1"/>
    <row r="8383" ht="18" customHeight="1"/>
    <row r="8384" ht="18" customHeight="1"/>
    <row r="8385" ht="18" customHeight="1"/>
    <row r="8386" ht="18" customHeight="1"/>
    <row r="8387" ht="18" customHeight="1"/>
    <row r="8388" ht="18" customHeight="1"/>
    <row r="8389" ht="18" customHeight="1"/>
    <row r="8390" ht="18" customHeight="1"/>
    <row r="8391" ht="18" customHeight="1"/>
    <row r="8392" ht="18" customHeight="1"/>
    <row r="8393" ht="18" customHeight="1"/>
    <row r="8394" ht="18" customHeight="1"/>
    <row r="8395" ht="18" customHeight="1"/>
    <row r="8396" ht="18" customHeight="1"/>
    <row r="8397" ht="18" customHeight="1"/>
    <row r="8398" ht="18" customHeight="1"/>
    <row r="8399" ht="18" customHeight="1"/>
    <row r="8400" ht="18" customHeight="1"/>
    <row r="8401" ht="18" customHeight="1"/>
    <row r="8402" ht="18" customHeight="1"/>
    <row r="8403" ht="18" customHeight="1"/>
    <row r="8404" ht="18" customHeight="1"/>
    <row r="8405" ht="18" customHeight="1"/>
    <row r="8406" ht="18" customHeight="1"/>
    <row r="8407" ht="18" customHeight="1"/>
    <row r="8408" ht="18" customHeight="1"/>
    <row r="8409" ht="18" customHeight="1"/>
    <row r="8410" ht="18" customHeight="1"/>
    <row r="8411" ht="18" customHeight="1"/>
    <row r="8412" ht="18" customHeight="1"/>
    <row r="8413" ht="18" customHeight="1"/>
    <row r="8414" ht="18" customHeight="1"/>
    <row r="8415" ht="18" customHeight="1"/>
    <row r="8416" ht="18" customHeight="1"/>
    <row r="8417" ht="18" customHeight="1"/>
    <row r="8418" ht="18" customHeight="1"/>
    <row r="8419" ht="18" customHeight="1"/>
    <row r="8420" ht="18" customHeight="1"/>
    <row r="8421" ht="18" customHeight="1"/>
    <row r="8422" ht="18" customHeight="1"/>
    <row r="8423" ht="18" customHeight="1"/>
    <row r="8424" ht="18" customHeight="1"/>
    <row r="8425" ht="18" customHeight="1"/>
    <row r="8426" ht="18" customHeight="1"/>
    <row r="8427" ht="18" customHeight="1"/>
    <row r="8428" ht="18" customHeight="1"/>
    <row r="8429" ht="18" customHeight="1"/>
    <row r="8430" ht="18" customHeight="1"/>
    <row r="8431" ht="18" customHeight="1"/>
    <row r="8432" ht="18" customHeight="1"/>
    <row r="8433" ht="18" customHeight="1"/>
    <row r="8434" ht="18" customHeight="1"/>
    <row r="8435" ht="18" customHeight="1"/>
    <row r="8436" ht="18" customHeight="1"/>
    <row r="8437" ht="18" customHeight="1"/>
    <row r="8438" ht="18" customHeight="1"/>
    <row r="8439" ht="18" customHeight="1"/>
    <row r="8440" ht="18" customHeight="1"/>
    <row r="8441" ht="18" customHeight="1"/>
    <row r="8442" ht="18" customHeight="1"/>
    <row r="8443" ht="18" customHeight="1"/>
    <row r="8444" ht="18" customHeight="1"/>
    <row r="8445" ht="18" customHeight="1"/>
    <row r="8446" ht="18" customHeight="1"/>
    <row r="8447" ht="18" customHeight="1"/>
    <row r="8448" ht="18" customHeight="1"/>
    <row r="8449" ht="18" customHeight="1"/>
    <row r="8450" ht="18" customHeight="1"/>
    <row r="8451" ht="18" customHeight="1"/>
    <row r="8452" ht="18" customHeight="1"/>
    <row r="8453" ht="18" customHeight="1"/>
    <row r="8454" ht="18" customHeight="1"/>
    <row r="8455" ht="18" customHeight="1"/>
    <row r="8456" ht="18" customHeight="1"/>
    <row r="8457" ht="18" customHeight="1"/>
    <row r="8458" ht="18" customHeight="1"/>
    <row r="8459" ht="18" customHeight="1"/>
    <row r="8460" ht="18" customHeight="1"/>
    <row r="8461" ht="18" customHeight="1"/>
    <row r="8462" ht="18" customHeight="1"/>
    <row r="8463" ht="18" customHeight="1"/>
    <row r="8464" ht="18" customHeight="1"/>
    <row r="8465" ht="18" customHeight="1"/>
    <row r="8466" ht="18" customHeight="1"/>
    <row r="8467" ht="18" customHeight="1"/>
    <row r="8468" ht="18" customHeight="1"/>
    <row r="8469" ht="18" customHeight="1"/>
    <row r="8470" ht="18" customHeight="1"/>
    <row r="8471" ht="18" customHeight="1"/>
    <row r="8472" ht="18" customHeight="1"/>
    <row r="8473" ht="18" customHeight="1"/>
    <row r="8474" ht="18" customHeight="1"/>
    <row r="8475" ht="18" customHeight="1"/>
    <row r="8476" ht="18" customHeight="1"/>
    <row r="8477" ht="18" customHeight="1"/>
    <row r="8478" ht="18" customHeight="1"/>
    <row r="8479" ht="18" customHeight="1"/>
    <row r="8480" ht="18" customHeight="1"/>
    <row r="8481" ht="18" customHeight="1"/>
    <row r="8482" ht="18" customHeight="1"/>
    <row r="8483" ht="18" customHeight="1"/>
    <row r="8484" ht="18" customHeight="1"/>
    <row r="8485" ht="18" customHeight="1"/>
    <row r="8486" ht="18" customHeight="1"/>
    <row r="8487" ht="18" customHeight="1"/>
    <row r="8488" ht="18" customHeight="1"/>
    <row r="8489" ht="18" customHeight="1"/>
    <row r="8490" ht="18" customHeight="1"/>
    <row r="8491" ht="18" customHeight="1"/>
    <row r="8492" ht="18" customHeight="1"/>
    <row r="8493" ht="18" customHeight="1"/>
    <row r="8494" ht="18" customHeight="1"/>
    <row r="8495" ht="18" customHeight="1"/>
    <row r="8496" ht="18" customHeight="1"/>
    <row r="8497" ht="18" customHeight="1"/>
    <row r="8498" ht="18" customHeight="1"/>
    <row r="8499" ht="18" customHeight="1"/>
    <row r="8500" ht="18" customHeight="1"/>
    <row r="8501" ht="18" customHeight="1"/>
    <row r="8502" ht="18" customHeight="1"/>
    <row r="8503" ht="18" customHeight="1"/>
    <row r="8504" ht="18" customHeight="1"/>
    <row r="8505" ht="18" customHeight="1"/>
    <row r="8506" ht="18" customHeight="1"/>
    <row r="8507" ht="18" customHeight="1"/>
    <row r="8508" ht="18" customHeight="1"/>
    <row r="8509" ht="18" customHeight="1"/>
    <row r="8510" ht="18" customHeight="1"/>
    <row r="8511" ht="18" customHeight="1"/>
    <row r="8512" ht="18" customHeight="1"/>
    <row r="8513" ht="18" customHeight="1"/>
    <row r="8514" ht="18" customHeight="1"/>
    <row r="8515" ht="18" customHeight="1"/>
    <row r="8516" ht="18" customHeight="1"/>
    <row r="8517" ht="18" customHeight="1"/>
    <row r="8518" ht="18" customHeight="1"/>
    <row r="8519" ht="18" customHeight="1"/>
    <row r="8520" ht="18" customHeight="1"/>
    <row r="8521" ht="18" customHeight="1"/>
    <row r="8522" ht="18" customHeight="1"/>
    <row r="8523" ht="18" customHeight="1"/>
    <row r="8524" ht="18" customHeight="1"/>
    <row r="8525" ht="18" customHeight="1"/>
    <row r="8526" ht="18" customHeight="1"/>
    <row r="8527" ht="18" customHeight="1"/>
    <row r="8528" ht="18" customHeight="1"/>
    <row r="8529" ht="18" customHeight="1"/>
    <row r="8530" ht="18" customHeight="1"/>
    <row r="8531" ht="18" customHeight="1"/>
    <row r="8532" ht="18" customHeight="1"/>
    <row r="8533" ht="18" customHeight="1"/>
    <row r="8534" ht="18" customHeight="1"/>
    <row r="8535" ht="18" customHeight="1"/>
    <row r="8536" ht="18" customHeight="1"/>
    <row r="8537" ht="18" customHeight="1"/>
    <row r="8538" ht="18" customHeight="1"/>
    <row r="8539" ht="18" customHeight="1"/>
    <row r="8540" ht="18" customHeight="1"/>
    <row r="8541" ht="18" customHeight="1"/>
    <row r="8542" ht="18" customHeight="1"/>
    <row r="8543" ht="18" customHeight="1"/>
    <row r="8544" ht="18" customHeight="1"/>
    <row r="8545" ht="18" customHeight="1"/>
    <row r="8546" ht="18" customHeight="1"/>
    <row r="8547" ht="18" customHeight="1"/>
    <row r="8548" ht="18" customHeight="1"/>
    <row r="8549" ht="18" customHeight="1"/>
    <row r="8550" ht="18" customHeight="1"/>
    <row r="8551" ht="18" customHeight="1"/>
    <row r="8552" ht="18" customHeight="1"/>
    <row r="8553" ht="18" customHeight="1"/>
    <row r="8554" ht="18" customHeight="1"/>
    <row r="8555" ht="18" customHeight="1"/>
    <row r="8556" ht="18" customHeight="1"/>
    <row r="8557" ht="18" customHeight="1"/>
    <row r="8558" ht="18" customHeight="1"/>
    <row r="8559" ht="18" customHeight="1"/>
    <row r="8560" ht="18" customHeight="1"/>
    <row r="8561" ht="18" customHeight="1"/>
    <row r="8562" ht="18" customHeight="1"/>
    <row r="8563" ht="18" customHeight="1"/>
    <row r="8564" ht="18" customHeight="1"/>
    <row r="8565" ht="18" customHeight="1"/>
    <row r="8566" ht="18" customHeight="1"/>
    <row r="8567" ht="18" customHeight="1"/>
    <row r="8568" ht="18" customHeight="1"/>
    <row r="8569" ht="18" customHeight="1"/>
    <row r="8570" ht="18" customHeight="1"/>
    <row r="8571" ht="18" customHeight="1"/>
    <row r="8572" ht="18" customHeight="1"/>
    <row r="8573" ht="18" customHeight="1"/>
    <row r="8574" ht="18" customHeight="1"/>
    <row r="8575" ht="18" customHeight="1"/>
    <row r="8576" ht="18" customHeight="1"/>
    <row r="8577" ht="18" customHeight="1"/>
    <row r="8578" ht="18" customHeight="1"/>
    <row r="8579" ht="18" customHeight="1"/>
    <row r="8580" ht="18" customHeight="1"/>
    <row r="8581" ht="18" customHeight="1"/>
    <row r="8582" ht="18" customHeight="1"/>
    <row r="8583" ht="18" customHeight="1"/>
    <row r="8584" ht="18" customHeight="1"/>
    <row r="8585" ht="18" customHeight="1"/>
    <row r="8586" ht="18" customHeight="1"/>
    <row r="8587" ht="18" customHeight="1"/>
    <row r="8588" ht="18" customHeight="1"/>
    <row r="8589" ht="18" customHeight="1"/>
    <row r="8590" ht="18" customHeight="1"/>
    <row r="8591" ht="18" customHeight="1"/>
    <row r="8592" ht="18" customHeight="1"/>
    <row r="8593" ht="18" customHeight="1"/>
    <row r="8594" ht="18" customHeight="1"/>
    <row r="8595" ht="18" customHeight="1"/>
    <row r="8596" ht="18" customHeight="1"/>
    <row r="8597" ht="18" customHeight="1"/>
    <row r="8598" ht="18" customHeight="1"/>
    <row r="8599" ht="18" customHeight="1"/>
    <row r="8600" ht="18" customHeight="1"/>
    <row r="8601" ht="18" customHeight="1"/>
    <row r="8602" ht="18" customHeight="1"/>
    <row r="8603" ht="18" customHeight="1"/>
    <row r="8604" ht="18" customHeight="1"/>
    <row r="8605" ht="18" customHeight="1"/>
    <row r="8606" ht="18" customHeight="1"/>
    <row r="8607" ht="18" customHeight="1"/>
    <row r="8608" ht="18" customHeight="1"/>
    <row r="8609" ht="18" customHeight="1"/>
    <row r="8610" ht="18" customHeight="1"/>
    <row r="8611" ht="18" customHeight="1"/>
    <row r="8612" ht="18" customHeight="1"/>
    <row r="8613" ht="18" customHeight="1"/>
    <row r="8614" ht="18" customHeight="1"/>
    <row r="8615" ht="18" customHeight="1"/>
    <row r="8616" ht="18" customHeight="1"/>
    <row r="8617" ht="18" customHeight="1"/>
    <row r="8618" ht="18" customHeight="1"/>
    <row r="8619" ht="18" customHeight="1"/>
    <row r="8620" ht="18" customHeight="1"/>
    <row r="8621" ht="18" customHeight="1"/>
    <row r="8622" ht="18" customHeight="1"/>
    <row r="8623" ht="18" customHeight="1"/>
    <row r="8624" ht="18" customHeight="1"/>
    <row r="8625" ht="18" customHeight="1"/>
    <row r="8626" ht="18" customHeight="1"/>
    <row r="8627" ht="18" customHeight="1"/>
    <row r="8628" ht="18" customHeight="1"/>
    <row r="8629" ht="18" customHeight="1"/>
    <row r="8630" ht="18" customHeight="1"/>
    <row r="8631" ht="18" customHeight="1"/>
    <row r="8632" ht="18" customHeight="1"/>
    <row r="8633" ht="18" customHeight="1"/>
    <row r="8634" ht="18" customHeight="1"/>
    <row r="8635" ht="18" customHeight="1"/>
    <row r="8636" ht="18" customHeight="1"/>
    <row r="8637" ht="18" customHeight="1"/>
    <row r="8638" ht="18" customHeight="1"/>
    <row r="8639" ht="18" customHeight="1"/>
    <row r="8640" ht="18" customHeight="1"/>
    <row r="8641" ht="18" customHeight="1"/>
    <row r="8642" ht="18" customHeight="1"/>
    <row r="8643" ht="18" customHeight="1"/>
    <row r="8644" ht="18" customHeight="1"/>
    <row r="8645" ht="18" customHeight="1"/>
    <row r="8646" ht="18" customHeight="1"/>
    <row r="8647" ht="18" customHeight="1"/>
    <row r="8648" ht="18" customHeight="1"/>
    <row r="8649" ht="18" customHeight="1"/>
    <row r="8650" ht="18" customHeight="1"/>
    <row r="8651" ht="18" customHeight="1"/>
    <row r="8652" ht="18" customHeight="1"/>
    <row r="8653" ht="18" customHeight="1"/>
    <row r="8654" ht="18" customHeight="1"/>
    <row r="8655" ht="18" customHeight="1"/>
    <row r="8656" ht="18" customHeight="1"/>
    <row r="8657" ht="18" customHeight="1"/>
    <row r="8658" ht="18" customHeight="1"/>
    <row r="8659" ht="18" customHeight="1"/>
    <row r="8660" ht="18" customHeight="1"/>
    <row r="8661" ht="18" customHeight="1"/>
    <row r="8662" ht="18" customHeight="1"/>
    <row r="8663" ht="18" customHeight="1"/>
    <row r="8664" ht="18" customHeight="1"/>
    <row r="8665" ht="18" customHeight="1"/>
    <row r="8666" ht="18" customHeight="1"/>
    <row r="8667" ht="18" customHeight="1"/>
    <row r="8668" ht="18" customHeight="1"/>
    <row r="8669" ht="18" customHeight="1"/>
    <row r="8670" ht="18" customHeight="1"/>
    <row r="8671" ht="18" customHeight="1"/>
    <row r="8672" ht="18" customHeight="1"/>
    <row r="8673" ht="18" customHeight="1"/>
    <row r="8674" ht="18" customHeight="1"/>
    <row r="8675" ht="18" customHeight="1"/>
    <row r="8676" ht="18" customHeight="1"/>
    <row r="8677" ht="18" customHeight="1"/>
    <row r="8678" ht="18" customHeight="1"/>
    <row r="8679" ht="18" customHeight="1"/>
    <row r="8680" ht="18" customHeight="1"/>
    <row r="8681" ht="18" customHeight="1"/>
    <row r="8682" ht="18" customHeight="1"/>
    <row r="8683" ht="18" customHeight="1"/>
    <row r="8684" ht="18" customHeight="1"/>
    <row r="8685" ht="18" customHeight="1"/>
    <row r="8686" ht="18" customHeight="1"/>
    <row r="8687" ht="18" customHeight="1"/>
    <row r="8688" ht="18" customHeight="1"/>
    <row r="8689" ht="18" customHeight="1"/>
    <row r="8690" ht="18" customHeight="1"/>
    <row r="8691" ht="18" customHeight="1"/>
    <row r="8692" ht="18" customHeight="1"/>
    <row r="8693" ht="18" customHeight="1"/>
    <row r="8694" ht="18" customHeight="1"/>
    <row r="8695" ht="18" customHeight="1"/>
    <row r="8696" ht="18" customHeight="1"/>
    <row r="8697" ht="18" customHeight="1"/>
    <row r="8698" ht="18" customHeight="1"/>
    <row r="8699" ht="18" customHeight="1"/>
    <row r="8700" ht="18" customHeight="1"/>
    <row r="8701" ht="18" customHeight="1"/>
    <row r="8702" ht="18" customHeight="1"/>
    <row r="8703" ht="18" customHeight="1"/>
    <row r="8704" ht="18" customHeight="1"/>
    <row r="8705" ht="18" customHeight="1"/>
    <row r="8706" ht="18" customHeight="1"/>
    <row r="8707" ht="18" customHeight="1"/>
    <row r="8708" ht="18" customHeight="1"/>
    <row r="8709" ht="18" customHeight="1"/>
    <row r="8710" ht="18" customHeight="1"/>
    <row r="8711" ht="18" customHeight="1"/>
    <row r="8712" ht="18" customHeight="1"/>
    <row r="8713" ht="18" customHeight="1"/>
    <row r="8714" ht="18" customHeight="1"/>
    <row r="8715" ht="18" customHeight="1"/>
    <row r="8716" ht="18" customHeight="1"/>
    <row r="8717" ht="18" customHeight="1"/>
    <row r="8718" ht="18" customHeight="1"/>
    <row r="8719" ht="18" customHeight="1"/>
    <row r="8720" ht="18" customHeight="1"/>
    <row r="8721" ht="18" customHeight="1"/>
    <row r="8722" ht="18" customHeight="1"/>
    <row r="8723" ht="18" customHeight="1"/>
    <row r="8724" ht="18" customHeight="1"/>
    <row r="8725" ht="18" customHeight="1"/>
    <row r="8726" ht="18" customHeight="1"/>
    <row r="8727" ht="18" customHeight="1"/>
    <row r="8728" ht="18" customHeight="1"/>
    <row r="8729" ht="18" customHeight="1"/>
    <row r="8730" ht="18" customHeight="1"/>
    <row r="8731" ht="18" customHeight="1"/>
    <row r="8732" ht="18" customHeight="1"/>
    <row r="8733" ht="18" customHeight="1"/>
    <row r="8734" ht="18" customHeight="1"/>
    <row r="8735" ht="18" customHeight="1"/>
    <row r="8736" ht="18" customHeight="1"/>
    <row r="8737" ht="18" customHeight="1"/>
    <row r="8738" ht="18" customHeight="1"/>
    <row r="8739" ht="18" customHeight="1"/>
    <row r="8740" ht="18" customHeight="1"/>
    <row r="8741" ht="18" customHeight="1"/>
    <row r="8742" ht="18" customHeight="1"/>
    <row r="8743" ht="18" customHeight="1"/>
    <row r="8744" ht="18" customHeight="1"/>
    <row r="8745" ht="18" customHeight="1"/>
    <row r="8746" ht="18" customHeight="1"/>
    <row r="8747" ht="18" customHeight="1"/>
    <row r="8748" ht="18" customHeight="1"/>
    <row r="8749" ht="18" customHeight="1"/>
    <row r="8750" ht="18" customHeight="1"/>
    <row r="8751" ht="18" customHeight="1"/>
    <row r="8752" ht="18" customHeight="1"/>
    <row r="8753" ht="18" customHeight="1"/>
    <row r="8754" ht="18" customHeight="1"/>
    <row r="8755" ht="18" customHeight="1"/>
    <row r="8756" ht="18" customHeight="1"/>
    <row r="8757" ht="18" customHeight="1"/>
    <row r="8758" ht="18" customHeight="1"/>
    <row r="8759" ht="18" customHeight="1"/>
    <row r="8760" ht="18" customHeight="1"/>
    <row r="8761" ht="18" customHeight="1"/>
    <row r="8762" ht="18" customHeight="1"/>
    <row r="8763" ht="18" customHeight="1"/>
    <row r="8764" ht="18" customHeight="1"/>
    <row r="8765" ht="18" customHeight="1"/>
    <row r="8766" ht="18" customHeight="1"/>
    <row r="8767" ht="18" customHeight="1"/>
    <row r="8768" ht="18" customHeight="1"/>
    <row r="8769" ht="18" customHeight="1"/>
    <row r="8770" ht="18" customHeight="1"/>
    <row r="8771" ht="18" customHeight="1"/>
    <row r="8772" ht="18" customHeight="1"/>
    <row r="8773" ht="18" customHeight="1"/>
    <row r="8774" ht="18" customHeight="1"/>
    <row r="8775" ht="18" customHeight="1"/>
    <row r="8776" ht="18" customHeight="1"/>
    <row r="8777" ht="18" customHeight="1"/>
    <row r="8778" ht="18" customHeight="1"/>
    <row r="8779" ht="18" customHeight="1"/>
    <row r="8780" ht="18" customHeight="1"/>
    <row r="8781" ht="18" customHeight="1"/>
    <row r="8782" ht="18" customHeight="1"/>
    <row r="8783" ht="18" customHeight="1"/>
    <row r="8784" ht="18" customHeight="1"/>
    <row r="8785" ht="18" customHeight="1"/>
    <row r="8786" ht="18" customHeight="1"/>
    <row r="8787" ht="18" customHeight="1"/>
    <row r="8788" ht="18" customHeight="1"/>
    <row r="8789" ht="18" customHeight="1"/>
    <row r="8790" ht="18" customHeight="1"/>
    <row r="8791" ht="18" customHeight="1"/>
    <row r="8792" ht="18" customHeight="1"/>
    <row r="8793" ht="18" customHeight="1"/>
    <row r="8794" ht="18" customHeight="1"/>
    <row r="8795" ht="18" customHeight="1"/>
    <row r="8796" ht="18" customHeight="1"/>
    <row r="8797" ht="18" customHeight="1"/>
    <row r="8798" ht="18" customHeight="1"/>
    <row r="8799" ht="18" customHeight="1"/>
    <row r="8800" ht="18" customHeight="1"/>
    <row r="8801" ht="18" customHeight="1"/>
    <row r="8802" ht="18" customHeight="1"/>
    <row r="8803" ht="18" customHeight="1"/>
    <row r="8804" ht="18" customHeight="1"/>
    <row r="8805" ht="18" customHeight="1"/>
    <row r="8806" ht="18" customHeight="1"/>
    <row r="8807" ht="18" customHeight="1"/>
    <row r="8808" ht="18" customHeight="1"/>
    <row r="8809" ht="18" customHeight="1"/>
    <row r="8810" ht="18" customHeight="1"/>
    <row r="8811" ht="18" customHeight="1"/>
    <row r="8812" ht="18" customHeight="1"/>
    <row r="8813" ht="18" customHeight="1"/>
    <row r="8814" ht="18" customHeight="1"/>
    <row r="8815" ht="18" customHeight="1"/>
    <row r="8816" ht="18" customHeight="1"/>
    <row r="8817" ht="18" customHeight="1"/>
    <row r="8818" ht="18" customHeight="1"/>
    <row r="8819" ht="18" customHeight="1"/>
    <row r="8820" ht="18" customHeight="1"/>
    <row r="8821" ht="18" customHeight="1"/>
    <row r="8822" ht="18" customHeight="1"/>
    <row r="8823" ht="18" customHeight="1"/>
    <row r="8824" ht="18" customHeight="1"/>
    <row r="8825" ht="18" customHeight="1"/>
    <row r="8826" ht="18" customHeight="1"/>
    <row r="8827" ht="18" customHeight="1"/>
    <row r="8828" ht="18" customHeight="1"/>
    <row r="8829" ht="18" customHeight="1"/>
    <row r="8830" ht="18" customHeight="1"/>
    <row r="8831" ht="18" customHeight="1"/>
    <row r="8832" ht="18" customHeight="1"/>
    <row r="8833" ht="18" customHeight="1"/>
    <row r="8834" ht="18" customHeight="1"/>
    <row r="8835" ht="18" customHeight="1"/>
    <row r="8836" ht="18" customHeight="1"/>
    <row r="8837" ht="18" customHeight="1"/>
    <row r="8838" ht="18" customHeight="1"/>
    <row r="8839" ht="18" customHeight="1"/>
    <row r="8840" ht="18" customHeight="1"/>
    <row r="8841" ht="18" customHeight="1"/>
    <row r="8842" ht="18" customHeight="1"/>
    <row r="8843" ht="18" customHeight="1"/>
    <row r="8844" ht="18" customHeight="1"/>
    <row r="8845" ht="18" customHeight="1"/>
    <row r="8846" ht="18" customHeight="1"/>
    <row r="8847" ht="18" customHeight="1"/>
    <row r="8848" ht="18" customHeight="1"/>
    <row r="8849" ht="18" customHeight="1"/>
    <row r="8850" ht="18" customHeight="1"/>
    <row r="8851" ht="18" customHeight="1"/>
    <row r="8852" ht="18" customHeight="1"/>
    <row r="8853" ht="18" customHeight="1"/>
    <row r="8854" ht="18" customHeight="1"/>
    <row r="8855" ht="18" customHeight="1"/>
    <row r="8856" ht="18" customHeight="1"/>
    <row r="8857" ht="18" customHeight="1"/>
    <row r="8858" ht="18" customHeight="1"/>
    <row r="8859" ht="18" customHeight="1"/>
    <row r="8860" ht="18" customHeight="1"/>
    <row r="8861" ht="18" customHeight="1"/>
    <row r="8862" ht="18" customHeight="1"/>
    <row r="8863" ht="18" customHeight="1"/>
    <row r="8864" ht="18" customHeight="1"/>
    <row r="8865" ht="18" customHeight="1"/>
    <row r="8866" ht="18" customHeight="1"/>
    <row r="8867" ht="18" customHeight="1"/>
    <row r="8868" ht="18" customHeight="1"/>
    <row r="8869" ht="18" customHeight="1"/>
    <row r="8870" ht="18" customHeight="1"/>
    <row r="8871" ht="18" customHeight="1"/>
    <row r="8872" ht="18" customHeight="1"/>
    <row r="8873" ht="18" customHeight="1"/>
    <row r="8874" ht="18" customHeight="1"/>
    <row r="8875" ht="18" customHeight="1"/>
    <row r="8876" ht="18" customHeight="1"/>
    <row r="8877" ht="18" customHeight="1"/>
    <row r="8878" ht="18" customHeight="1"/>
    <row r="8879" ht="18" customHeight="1"/>
    <row r="8880" ht="18" customHeight="1"/>
    <row r="8881" ht="18" customHeight="1"/>
    <row r="8882" ht="18" customHeight="1"/>
    <row r="8883" ht="18" customHeight="1"/>
    <row r="8884" ht="18" customHeight="1"/>
    <row r="8885" ht="18" customHeight="1"/>
    <row r="8886" ht="18" customHeight="1"/>
    <row r="8887" ht="18" customHeight="1"/>
    <row r="8888" ht="18" customHeight="1"/>
    <row r="8889" ht="18" customHeight="1"/>
    <row r="8890" ht="18" customHeight="1"/>
    <row r="8891" ht="18" customHeight="1"/>
    <row r="8892" ht="18" customHeight="1"/>
    <row r="8893" ht="18" customHeight="1"/>
    <row r="8894" ht="18" customHeight="1"/>
    <row r="8895" ht="18" customHeight="1"/>
    <row r="8896" ht="18" customHeight="1"/>
    <row r="8897" ht="18" customHeight="1"/>
    <row r="8898" ht="18" customHeight="1"/>
    <row r="8899" ht="18" customHeight="1"/>
    <row r="8900" ht="18" customHeight="1"/>
    <row r="8901" ht="18" customHeight="1"/>
    <row r="8902" ht="18" customHeight="1"/>
    <row r="8903" ht="18" customHeight="1"/>
    <row r="8904" ht="18" customHeight="1"/>
    <row r="8905" ht="18" customHeight="1"/>
    <row r="8906" ht="18" customHeight="1"/>
    <row r="8907" ht="18" customHeight="1"/>
    <row r="8908" ht="18" customHeight="1"/>
    <row r="8909" ht="18" customHeight="1"/>
    <row r="8910" ht="18" customHeight="1"/>
    <row r="8911" ht="18" customHeight="1"/>
    <row r="8912" ht="18" customHeight="1"/>
    <row r="8913" ht="18" customHeight="1"/>
    <row r="8914" ht="18" customHeight="1"/>
    <row r="8915" ht="18" customHeight="1"/>
    <row r="8916" ht="18" customHeight="1"/>
    <row r="8917" ht="18" customHeight="1"/>
    <row r="8918" ht="18" customHeight="1"/>
    <row r="8919" ht="18" customHeight="1"/>
    <row r="8920" ht="18" customHeight="1"/>
    <row r="8921" ht="18" customHeight="1"/>
    <row r="8922" ht="18" customHeight="1"/>
    <row r="8923" ht="18" customHeight="1"/>
    <row r="8924" ht="18" customHeight="1"/>
    <row r="8925" ht="18" customHeight="1"/>
    <row r="8926" ht="18" customHeight="1"/>
    <row r="8927" ht="18" customHeight="1"/>
    <row r="8928" ht="18" customHeight="1"/>
    <row r="8929" ht="18" customHeight="1"/>
    <row r="8930" ht="18" customHeight="1"/>
    <row r="8931" ht="18" customHeight="1"/>
    <row r="8932" ht="18" customHeight="1"/>
    <row r="8933" ht="18" customHeight="1"/>
    <row r="8934" ht="18" customHeight="1"/>
    <row r="8935" ht="18" customHeight="1"/>
    <row r="8936" ht="18" customHeight="1"/>
    <row r="8937" ht="18" customHeight="1"/>
    <row r="8938" ht="18" customHeight="1"/>
    <row r="8939" ht="18" customHeight="1"/>
    <row r="8940" ht="18" customHeight="1"/>
    <row r="8941" ht="18" customHeight="1"/>
    <row r="8942" ht="18" customHeight="1"/>
    <row r="8943" ht="18" customHeight="1"/>
    <row r="8944" ht="18" customHeight="1"/>
    <row r="8945" ht="18" customHeight="1"/>
    <row r="8946" ht="18" customHeight="1"/>
    <row r="8947" ht="18" customHeight="1"/>
    <row r="8948" ht="18" customHeight="1"/>
    <row r="8949" ht="18" customHeight="1"/>
    <row r="8950" ht="18" customHeight="1"/>
    <row r="8951" ht="18" customHeight="1"/>
    <row r="8952" ht="18" customHeight="1"/>
    <row r="8953" ht="18" customHeight="1"/>
    <row r="8954" ht="18" customHeight="1"/>
    <row r="8955" ht="18" customHeight="1"/>
    <row r="8956" ht="18" customHeight="1"/>
    <row r="8957" ht="18" customHeight="1"/>
    <row r="8958" ht="18" customHeight="1"/>
    <row r="8959" ht="18" customHeight="1"/>
    <row r="8960" ht="18" customHeight="1"/>
    <row r="8961" ht="18" customHeight="1"/>
    <row r="8962" ht="18" customHeight="1"/>
    <row r="8963" ht="18" customHeight="1"/>
    <row r="8964" ht="18" customHeight="1"/>
    <row r="8965" ht="18" customHeight="1"/>
    <row r="8966" ht="18" customHeight="1"/>
    <row r="8967" ht="18" customHeight="1"/>
    <row r="8968" ht="18" customHeight="1"/>
    <row r="8969" ht="18" customHeight="1"/>
    <row r="8970" ht="18" customHeight="1"/>
    <row r="8971" ht="18" customHeight="1"/>
    <row r="8972" ht="18" customHeight="1"/>
    <row r="8973" ht="18" customHeight="1"/>
    <row r="8974" ht="18" customHeight="1"/>
    <row r="8975" ht="18" customHeight="1"/>
    <row r="8976" ht="18" customHeight="1"/>
    <row r="8977" ht="18" customHeight="1"/>
    <row r="8978" ht="18" customHeight="1"/>
    <row r="8979" ht="18" customHeight="1"/>
    <row r="8980" ht="18" customHeight="1"/>
    <row r="8981" ht="18" customHeight="1"/>
    <row r="8982" ht="18" customHeight="1"/>
    <row r="8983" ht="18" customHeight="1"/>
    <row r="8984" ht="18" customHeight="1"/>
    <row r="8985" ht="18" customHeight="1"/>
    <row r="8986" ht="18" customHeight="1"/>
    <row r="8987" ht="18" customHeight="1"/>
    <row r="8988" ht="18" customHeight="1"/>
    <row r="8989" ht="18" customHeight="1"/>
    <row r="8990" ht="18" customHeight="1"/>
    <row r="8991" ht="18" customHeight="1"/>
    <row r="8992" ht="18" customHeight="1"/>
    <row r="8993" ht="18" customHeight="1"/>
    <row r="8994" ht="18" customHeight="1"/>
    <row r="8995" ht="18" customHeight="1"/>
    <row r="8996" ht="18" customHeight="1"/>
    <row r="8997" ht="18" customHeight="1"/>
    <row r="8998" ht="18" customHeight="1"/>
    <row r="8999" ht="18" customHeight="1"/>
    <row r="9000" ht="18" customHeight="1"/>
    <row r="9001" ht="18" customHeight="1"/>
    <row r="9002" ht="18" customHeight="1"/>
    <row r="9003" ht="18" customHeight="1"/>
    <row r="9004" ht="18" customHeight="1"/>
    <row r="9005" ht="18" customHeight="1"/>
    <row r="9006" ht="18" customHeight="1"/>
    <row r="9007" ht="18" customHeight="1"/>
    <row r="9008" ht="18" customHeight="1"/>
    <row r="9009" ht="18" customHeight="1"/>
    <row r="9010" ht="18" customHeight="1"/>
    <row r="9011" ht="18" customHeight="1"/>
    <row r="9012" ht="18" customHeight="1"/>
    <row r="9013" ht="18" customHeight="1"/>
    <row r="9014" ht="18" customHeight="1"/>
    <row r="9015" ht="18" customHeight="1"/>
    <row r="9016" ht="18" customHeight="1"/>
    <row r="9017" ht="18" customHeight="1"/>
    <row r="9018" ht="18" customHeight="1"/>
    <row r="9019" ht="18" customHeight="1"/>
    <row r="9020" ht="18" customHeight="1"/>
    <row r="9021" ht="18" customHeight="1"/>
    <row r="9022" ht="18" customHeight="1"/>
    <row r="9023" ht="18" customHeight="1"/>
    <row r="9024" ht="18" customHeight="1"/>
    <row r="9025" ht="18" customHeight="1"/>
    <row r="9026" ht="18" customHeight="1"/>
    <row r="9027" ht="18" customHeight="1"/>
    <row r="9028" ht="18" customHeight="1"/>
    <row r="9029" ht="18" customHeight="1"/>
    <row r="9030" ht="18" customHeight="1"/>
    <row r="9031" ht="18" customHeight="1"/>
    <row r="9032" ht="18" customHeight="1"/>
    <row r="9033" ht="18" customHeight="1"/>
    <row r="9034" ht="18" customHeight="1"/>
    <row r="9035" ht="18" customHeight="1"/>
    <row r="9036" ht="18" customHeight="1"/>
    <row r="9037" ht="18" customHeight="1"/>
    <row r="9038" ht="18" customHeight="1"/>
    <row r="9039" ht="18" customHeight="1"/>
    <row r="9040" ht="18" customHeight="1"/>
    <row r="9041" ht="18" customHeight="1"/>
    <row r="9042" ht="18" customHeight="1"/>
    <row r="9043" ht="18" customHeight="1"/>
    <row r="9044" ht="18" customHeight="1"/>
    <row r="9045" ht="18" customHeight="1"/>
    <row r="9046" ht="18" customHeight="1"/>
    <row r="9047" ht="18" customHeight="1"/>
    <row r="9048" ht="18" customHeight="1"/>
    <row r="9049" ht="18" customHeight="1"/>
    <row r="9050" ht="18" customHeight="1"/>
    <row r="9051" ht="18" customHeight="1"/>
    <row r="9052" ht="18" customHeight="1"/>
    <row r="9053" ht="18" customHeight="1"/>
    <row r="9054" ht="18" customHeight="1"/>
    <row r="9055" ht="18" customHeight="1"/>
    <row r="9056" ht="18" customHeight="1"/>
    <row r="9057" ht="18" customHeight="1"/>
    <row r="9058" ht="18" customHeight="1"/>
    <row r="9059" ht="18" customHeight="1"/>
    <row r="9060" ht="18" customHeight="1"/>
    <row r="9061" ht="18" customHeight="1"/>
    <row r="9062" ht="18" customHeight="1"/>
    <row r="9063" ht="18" customHeight="1"/>
    <row r="9064" ht="18" customHeight="1"/>
    <row r="9065" ht="18" customHeight="1"/>
    <row r="9066" ht="18" customHeight="1"/>
    <row r="9067" ht="18" customHeight="1"/>
    <row r="9068" ht="18" customHeight="1"/>
    <row r="9069" ht="18" customHeight="1"/>
    <row r="9070" ht="18" customHeight="1"/>
    <row r="9071" ht="18" customHeight="1"/>
    <row r="9072" ht="18" customHeight="1"/>
    <row r="9073" ht="18" customHeight="1"/>
    <row r="9074" ht="18" customHeight="1"/>
    <row r="9075" ht="18" customHeight="1"/>
    <row r="9076" ht="18" customHeight="1"/>
    <row r="9077" ht="18" customHeight="1"/>
    <row r="9078" ht="18" customHeight="1"/>
    <row r="9079" ht="18" customHeight="1"/>
    <row r="9080" ht="18" customHeight="1"/>
    <row r="9081" ht="18" customHeight="1"/>
    <row r="9082" ht="18" customHeight="1"/>
    <row r="9083" ht="18" customHeight="1"/>
    <row r="9084" ht="18" customHeight="1"/>
    <row r="9085" ht="18" customHeight="1"/>
    <row r="9086" ht="18" customHeight="1"/>
    <row r="9087" ht="18" customHeight="1"/>
    <row r="9088" ht="18" customHeight="1"/>
    <row r="9089" ht="18" customHeight="1"/>
    <row r="9090" ht="18" customHeight="1"/>
    <row r="9091" ht="18" customHeight="1"/>
    <row r="9092" ht="18" customHeight="1"/>
    <row r="9093" ht="18" customHeight="1"/>
    <row r="9094" ht="18" customHeight="1"/>
    <row r="9095" ht="18" customHeight="1"/>
    <row r="9096" ht="18" customHeight="1"/>
    <row r="9097" ht="18" customHeight="1"/>
    <row r="9098" ht="18" customHeight="1"/>
    <row r="9099" ht="18" customHeight="1"/>
    <row r="9100" ht="18" customHeight="1"/>
    <row r="9101" ht="18" customHeight="1"/>
    <row r="9102" ht="18" customHeight="1"/>
    <row r="9103" ht="18" customHeight="1"/>
    <row r="9104" ht="18" customHeight="1"/>
    <row r="9105" ht="18" customHeight="1"/>
    <row r="9106" ht="18" customHeight="1"/>
    <row r="9107" ht="18" customHeight="1"/>
    <row r="9108" ht="18" customHeight="1"/>
    <row r="9109" ht="18" customHeight="1"/>
    <row r="9110" ht="18" customHeight="1"/>
    <row r="9111" ht="18" customHeight="1"/>
    <row r="9112" ht="18" customHeight="1"/>
    <row r="9113" ht="18" customHeight="1"/>
    <row r="9114" ht="18" customHeight="1"/>
    <row r="9115" ht="18" customHeight="1"/>
    <row r="9116" ht="18" customHeight="1"/>
    <row r="9117" ht="18" customHeight="1"/>
    <row r="9118" ht="18" customHeight="1"/>
    <row r="9119" ht="18" customHeight="1"/>
    <row r="9120" ht="18" customHeight="1"/>
    <row r="9121" ht="18" customHeight="1"/>
    <row r="9122" ht="18" customHeight="1"/>
    <row r="9123" ht="18" customHeight="1"/>
    <row r="9124" ht="18" customHeight="1"/>
    <row r="9125" ht="18" customHeight="1"/>
    <row r="9126" ht="18" customHeight="1"/>
    <row r="9127" ht="18" customHeight="1"/>
    <row r="9128" ht="18" customHeight="1"/>
    <row r="9129" ht="18" customHeight="1"/>
    <row r="9130" ht="18" customHeight="1"/>
    <row r="9131" ht="18" customHeight="1"/>
    <row r="9132" ht="18" customHeight="1"/>
    <row r="9133" ht="18" customHeight="1"/>
    <row r="9134" ht="18" customHeight="1"/>
    <row r="9135" ht="18" customHeight="1"/>
    <row r="9136" ht="18" customHeight="1"/>
    <row r="9137" ht="18" customHeight="1"/>
    <row r="9138" ht="18" customHeight="1"/>
    <row r="9139" ht="18" customHeight="1"/>
    <row r="9140" ht="18" customHeight="1"/>
    <row r="9141" ht="18" customHeight="1"/>
    <row r="9142" ht="18" customHeight="1"/>
    <row r="9143" ht="18" customHeight="1"/>
    <row r="9144" ht="18" customHeight="1"/>
    <row r="9145" ht="18" customHeight="1"/>
    <row r="9146" ht="18" customHeight="1"/>
    <row r="9147" ht="18" customHeight="1"/>
    <row r="9148" ht="18" customHeight="1"/>
    <row r="9149" ht="18" customHeight="1"/>
    <row r="9150" ht="18" customHeight="1"/>
    <row r="9151" ht="18" customHeight="1"/>
    <row r="9152" ht="18" customHeight="1"/>
    <row r="9153" ht="18" customHeight="1"/>
    <row r="9154" ht="18" customHeight="1"/>
    <row r="9155" ht="18" customHeight="1"/>
    <row r="9156" ht="18" customHeight="1"/>
    <row r="9157" ht="18" customHeight="1"/>
    <row r="9158" ht="18" customHeight="1"/>
    <row r="9159" ht="18" customHeight="1"/>
    <row r="9160" ht="18" customHeight="1"/>
    <row r="9161" ht="18" customHeight="1"/>
    <row r="9162" ht="18" customHeight="1"/>
    <row r="9163" ht="18" customHeight="1"/>
    <row r="9164" ht="18" customHeight="1"/>
    <row r="9165" ht="18" customHeight="1"/>
    <row r="9166" ht="18" customHeight="1"/>
    <row r="9167" ht="18" customHeight="1"/>
    <row r="9168" ht="18" customHeight="1"/>
    <row r="9169" ht="18" customHeight="1"/>
    <row r="9170" ht="18" customHeight="1"/>
    <row r="9171" ht="18" customHeight="1"/>
    <row r="9172" ht="18" customHeight="1"/>
    <row r="9173" ht="18" customHeight="1"/>
    <row r="9174" ht="18" customHeight="1"/>
    <row r="9175" ht="18" customHeight="1"/>
    <row r="9176" ht="18" customHeight="1"/>
    <row r="9177" ht="18" customHeight="1"/>
    <row r="9178" ht="18" customHeight="1"/>
    <row r="9179" ht="18" customHeight="1"/>
    <row r="9180" ht="18" customHeight="1"/>
    <row r="9181" ht="18" customHeight="1"/>
    <row r="9182" ht="18" customHeight="1"/>
    <row r="9183" ht="18" customHeight="1"/>
    <row r="9184" ht="18" customHeight="1"/>
    <row r="9185" ht="18" customHeight="1"/>
    <row r="9186" ht="18" customHeight="1"/>
    <row r="9187" ht="18" customHeight="1"/>
    <row r="9188" ht="18" customHeight="1"/>
    <row r="9189" ht="18" customHeight="1"/>
    <row r="9190" ht="18" customHeight="1"/>
    <row r="9191" ht="18" customHeight="1"/>
    <row r="9192" ht="18" customHeight="1"/>
    <row r="9193" ht="18" customHeight="1"/>
    <row r="9194" ht="18" customHeight="1"/>
    <row r="9195" ht="18" customHeight="1"/>
    <row r="9196" ht="18" customHeight="1"/>
    <row r="9197" ht="18" customHeight="1"/>
    <row r="9198" ht="18" customHeight="1"/>
    <row r="9199" ht="18" customHeight="1"/>
    <row r="9200" ht="18" customHeight="1"/>
    <row r="9201" ht="18" customHeight="1"/>
    <row r="9202" ht="18" customHeight="1"/>
    <row r="9203" ht="18" customHeight="1"/>
    <row r="9204" ht="18" customHeight="1"/>
    <row r="9205" ht="18" customHeight="1"/>
    <row r="9206" ht="18" customHeight="1"/>
    <row r="9207" ht="18" customHeight="1"/>
    <row r="9208" ht="18" customHeight="1"/>
    <row r="9209" ht="18" customHeight="1"/>
    <row r="9210" ht="18" customHeight="1"/>
    <row r="9211" ht="18" customHeight="1"/>
    <row r="9212" ht="18" customHeight="1"/>
    <row r="9213" ht="18" customHeight="1"/>
    <row r="9214" ht="18" customHeight="1"/>
    <row r="9215" ht="18" customHeight="1"/>
    <row r="9216" ht="18" customHeight="1"/>
    <row r="9217" ht="18" customHeight="1"/>
    <row r="9218" ht="18" customHeight="1"/>
    <row r="9219" ht="18" customHeight="1"/>
    <row r="9220" ht="18" customHeight="1"/>
    <row r="9221" ht="18" customHeight="1"/>
    <row r="9222" ht="18" customHeight="1"/>
    <row r="9223" ht="18" customHeight="1"/>
    <row r="9224" ht="18" customHeight="1"/>
    <row r="9225" ht="18" customHeight="1"/>
    <row r="9226" ht="18" customHeight="1"/>
    <row r="9227" ht="18" customHeight="1"/>
    <row r="9228" ht="18" customHeight="1"/>
    <row r="9229" ht="18" customHeight="1"/>
    <row r="9230" ht="18" customHeight="1"/>
    <row r="9231" ht="18" customHeight="1"/>
    <row r="9232" ht="18" customHeight="1"/>
    <row r="9233" ht="18" customHeight="1"/>
    <row r="9234" ht="18" customHeight="1"/>
    <row r="9235" ht="18" customHeight="1"/>
    <row r="9236" ht="18" customHeight="1"/>
    <row r="9237" ht="18" customHeight="1"/>
    <row r="9238" ht="18" customHeight="1"/>
    <row r="9239" ht="18" customHeight="1"/>
    <row r="9240" ht="18" customHeight="1"/>
    <row r="9241" ht="18" customHeight="1"/>
    <row r="9242" ht="18" customHeight="1"/>
    <row r="9243" ht="18" customHeight="1"/>
    <row r="9244" ht="18" customHeight="1"/>
    <row r="9245" ht="18" customHeight="1"/>
    <row r="9246" ht="18" customHeight="1"/>
    <row r="9247" ht="18" customHeight="1"/>
    <row r="9248" ht="18" customHeight="1"/>
    <row r="9249" ht="18" customHeight="1"/>
    <row r="9250" ht="18" customHeight="1"/>
    <row r="9251" ht="18" customHeight="1"/>
    <row r="9252" ht="18" customHeight="1"/>
    <row r="9253" ht="18" customHeight="1"/>
    <row r="9254" ht="18" customHeight="1"/>
    <row r="9255" ht="18" customHeight="1"/>
    <row r="9256" ht="18" customHeight="1"/>
    <row r="9257" ht="18" customHeight="1"/>
    <row r="9258" ht="18" customHeight="1"/>
    <row r="9259" ht="18" customHeight="1"/>
    <row r="9260" ht="18" customHeight="1"/>
    <row r="9261" ht="18" customHeight="1"/>
    <row r="9262" ht="18" customHeight="1"/>
    <row r="9263" ht="18" customHeight="1"/>
    <row r="9264" ht="18" customHeight="1"/>
    <row r="9265" ht="18" customHeight="1"/>
    <row r="9266" ht="18" customHeight="1"/>
    <row r="9267" ht="18" customHeight="1"/>
    <row r="9268" ht="18" customHeight="1"/>
    <row r="9269" ht="18" customHeight="1"/>
    <row r="9270" ht="18" customHeight="1"/>
    <row r="9271" ht="18" customHeight="1"/>
    <row r="9272" ht="18" customHeight="1"/>
    <row r="9273" ht="18" customHeight="1"/>
    <row r="9274" ht="18" customHeight="1"/>
    <row r="9275" ht="18" customHeight="1"/>
    <row r="9276" ht="18" customHeight="1"/>
    <row r="9277" ht="18" customHeight="1"/>
    <row r="9278" ht="18" customHeight="1"/>
    <row r="9279" ht="18" customHeight="1"/>
    <row r="9280" ht="18" customHeight="1"/>
    <row r="9281" ht="18" customHeight="1"/>
    <row r="9282" ht="18" customHeight="1"/>
    <row r="9283" ht="18" customHeight="1"/>
    <row r="9284" ht="18" customHeight="1"/>
    <row r="9285" ht="18" customHeight="1"/>
    <row r="9286" ht="18" customHeight="1"/>
    <row r="9287" ht="18" customHeight="1"/>
    <row r="9288" ht="18" customHeight="1"/>
    <row r="9289" ht="18" customHeight="1"/>
    <row r="9290" ht="18" customHeight="1"/>
    <row r="9291" ht="18" customHeight="1"/>
    <row r="9292" ht="18" customHeight="1"/>
    <row r="9293" ht="18" customHeight="1"/>
    <row r="9294" ht="18" customHeight="1"/>
    <row r="9295" ht="18" customHeight="1"/>
    <row r="9296" ht="18" customHeight="1"/>
    <row r="9297" ht="18" customHeight="1"/>
    <row r="9298" ht="18" customHeight="1"/>
    <row r="9299" ht="18" customHeight="1"/>
    <row r="9300" ht="18" customHeight="1"/>
    <row r="9301" ht="18" customHeight="1"/>
    <row r="9302" ht="18" customHeight="1"/>
    <row r="9303" ht="18" customHeight="1"/>
    <row r="9304" ht="18" customHeight="1"/>
    <row r="9305" ht="18" customHeight="1"/>
    <row r="9306" ht="18" customHeight="1"/>
    <row r="9307" ht="18" customHeight="1"/>
    <row r="9308" ht="18" customHeight="1"/>
    <row r="9309" ht="18" customHeight="1"/>
    <row r="9310" ht="18" customHeight="1"/>
    <row r="9311" ht="18" customHeight="1"/>
    <row r="9312" ht="18" customHeight="1"/>
    <row r="9313" ht="18" customHeight="1"/>
    <row r="9314" ht="18" customHeight="1"/>
    <row r="9315" ht="18" customHeight="1"/>
    <row r="9316" ht="18" customHeight="1"/>
    <row r="9317" ht="18" customHeight="1"/>
    <row r="9318" ht="18" customHeight="1"/>
    <row r="9319" ht="18" customHeight="1"/>
    <row r="9320" ht="18" customHeight="1"/>
    <row r="9321" ht="18" customHeight="1"/>
    <row r="9322" ht="18" customHeight="1"/>
    <row r="9323" ht="18" customHeight="1"/>
    <row r="9324" ht="18" customHeight="1"/>
    <row r="9325" ht="18" customHeight="1"/>
    <row r="9326" ht="18" customHeight="1"/>
    <row r="9327" ht="18" customHeight="1"/>
    <row r="9328" ht="18" customHeight="1"/>
    <row r="9329" ht="18" customHeight="1"/>
    <row r="9330" ht="18" customHeight="1"/>
    <row r="9331" ht="18" customHeight="1"/>
    <row r="9332" ht="18" customHeight="1"/>
    <row r="9333" ht="18" customHeight="1"/>
    <row r="9334" ht="18" customHeight="1"/>
    <row r="9335" ht="18" customHeight="1"/>
    <row r="9336" ht="18" customHeight="1"/>
    <row r="9337" ht="18" customHeight="1"/>
    <row r="9338" ht="18" customHeight="1"/>
    <row r="9339" ht="18" customHeight="1"/>
    <row r="9340" ht="18" customHeight="1"/>
    <row r="9341" ht="18" customHeight="1"/>
    <row r="9342" ht="18" customHeight="1"/>
    <row r="9343" ht="18" customHeight="1"/>
    <row r="9344" ht="18" customHeight="1"/>
    <row r="9345" ht="18" customHeight="1"/>
    <row r="9346" ht="18" customHeight="1"/>
    <row r="9347" ht="18" customHeight="1"/>
    <row r="9348" ht="18" customHeight="1"/>
    <row r="9349" ht="18" customHeight="1"/>
    <row r="9350" ht="18" customHeight="1"/>
    <row r="9351" ht="18" customHeight="1"/>
    <row r="9352" ht="18" customHeight="1"/>
    <row r="9353" ht="18" customHeight="1"/>
    <row r="9354" ht="18" customHeight="1"/>
    <row r="9355" ht="18" customHeight="1"/>
    <row r="9356" ht="18" customHeight="1"/>
    <row r="9357" ht="18" customHeight="1"/>
    <row r="9358" ht="18" customHeight="1"/>
    <row r="9359" ht="18" customHeight="1"/>
    <row r="9360" ht="18" customHeight="1"/>
    <row r="9361" ht="18" customHeight="1"/>
    <row r="9362" ht="18" customHeight="1"/>
    <row r="9363" ht="18" customHeight="1"/>
    <row r="9364" ht="18" customHeight="1"/>
    <row r="9365" ht="18" customHeight="1"/>
    <row r="9366" ht="18" customHeight="1"/>
    <row r="9367" ht="18" customHeight="1"/>
    <row r="9368" ht="18" customHeight="1"/>
    <row r="9369" ht="18" customHeight="1"/>
    <row r="9370" ht="18" customHeight="1"/>
    <row r="9371" ht="18" customHeight="1"/>
    <row r="9372" ht="18" customHeight="1"/>
    <row r="9373" ht="18" customHeight="1"/>
    <row r="9374" ht="18" customHeight="1"/>
    <row r="9375" ht="18" customHeight="1"/>
    <row r="9376" ht="18" customHeight="1"/>
    <row r="9377" ht="18" customHeight="1"/>
    <row r="9378" ht="18" customHeight="1"/>
    <row r="9379" ht="18" customHeight="1"/>
    <row r="9380" ht="18" customHeight="1"/>
    <row r="9381" ht="18" customHeight="1"/>
    <row r="9382" ht="18" customHeight="1"/>
    <row r="9383" ht="18" customHeight="1"/>
    <row r="9384" ht="18" customHeight="1"/>
    <row r="9385" ht="18" customHeight="1"/>
    <row r="9386" ht="18" customHeight="1"/>
    <row r="9387" ht="18" customHeight="1"/>
    <row r="9388" ht="18" customHeight="1"/>
    <row r="9389" ht="18" customHeight="1"/>
    <row r="9390" ht="18" customHeight="1"/>
    <row r="9391" ht="18" customHeight="1"/>
    <row r="9392" ht="18" customHeight="1"/>
    <row r="9393" ht="18" customHeight="1"/>
    <row r="9394" ht="18" customHeight="1"/>
    <row r="9395" ht="18" customHeight="1"/>
    <row r="9396" ht="18" customHeight="1"/>
    <row r="9397" ht="18" customHeight="1"/>
    <row r="9398" ht="18" customHeight="1"/>
    <row r="9399" ht="18" customHeight="1"/>
    <row r="9400" ht="18" customHeight="1"/>
    <row r="9401" ht="18" customHeight="1"/>
    <row r="9402" ht="18" customHeight="1"/>
    <row r="9403" ht="18" customHeight="1"/>
    <row r="9404" ht="18" customHeight="1"/>
    <row r="9405" ht="18" customHeight="1"/>
    <row r="9406" ht="18" customHeight="1"/>
    <row r="9407" ht="18" customHeight="1"/>
    <row r="9408" ht="18" customHeight="1"/>
    <row r="9409" ht="18" customHeight="1"/>
    <row r="9410" ht="18" customHeight="1"/>
    <row r="9411" ht="18" customHeight="1"/>
    <row r="9412" ht="18" customHeight="1"/>
    <row r="9413" ht="18" customHeight="1"/>
    <row r="9414" ht="18" customHeight="1"/>
    <row r="9415" ht="18" customHeight="1"/>
    <row r="9416" ht="18" customHeight="1"/>
    <row r="9417" ht="18" customHeight="1"/>
    <row r="9418" ht="18" customHeight="1"/>
    <row r="9419" ht="18" customHeight="1"/>
    <row r="9420" ht="18" customHeight="1"/>
    <row r="9421" ht="18" customHeight="1"/>
    <row r="9422" ht="18" customHeight="1"/>
    <row r="9423" ht="18" customHeight="1"/>
    <row r="9424" ht="18" customHeight="1"/>
    <row r="9425" ht="18" customHeight="1"/>
    <row r="9426" ht="18" customHeight="1"/>
    <row r="9427" ht="18" customHeight="1"/>
    <row r="9428" ht="18" customHeight="1"/>
    <row r="9429" ht="18" customHeight="1"/>
    <row r="9430" ht="18" customHeight="1"/>
    <row r="9431" ht="18" customHeight="1"/>
    <row r="9432" ht="18" customHeight="1"/>
    <row r="9433" ht="18" customHeight="1"/>
    <row r="9434" ht="18" customHeight="1"/>
    <row r="9435" ht="18" customHeight="1"/>
    <row r="9436" ht="18" customHeight="1"/>
    <row r="9437" ht="18" customHeight="1"/>
    <row r="9438" ht="18" customHeight="1"/>
    <row r="9439" ht="18" customHeight="1"/>
    <row r="9440" ht="18" customHeight="1"/>
    <row r="9441" ht="18" customHeight="1"/>
    <row r="9442" ht="18" customHeight="1"/>
    <row r="9443" ht="18" customHeight="1"/>
    <row r="9444" ht="18" customHeight="1"/>
    <row r="9445" ht="18" customHeight="1"/>
    <row r="9446" ht="18" customHeight="1"/>
    <row r="9447" ht="18" customHeight="1"/>
    <row r="9448" ht="18" customHeight="1"/>
    <row r="9449" ht="18" customHeight="1"/>
    <row r="9450" ht="18" customHeight="1"/>
    <row r="9451" ht="18" customHeight="1"/>
    <row r="9452" ht="18" customHeight="1"/>
    <row r="9453" ht="18" customHeight="1"/>
    <row r="9454" ht="18" customHeight="1"/>
    <row r="9455" ht="18" customHeight="1"/>
    <row r="9456" ht="18" customHeight="1"/>
    <row r="9457" ht="18" customHeight="1"/>
    <row r="9458" ht="18" customHeight="1"/>
    <row r="9459" ht="18" customHeight="1"/>
    <row r="9460" ht="18" customHeight="1"/>
    <row r="9461" ht="18" customHeight="1"/>
    <row r="9462" ht="18" customHeight="1"/>
    <row r="9463" ht="18" customHeight="1"/>
    <row r="9464" ht="18" customHeight="1"/>
    <row r="9465" ht="18" customHeight="1"/>
    <row r="9466" ht="18" customHeight="1"/>
    <row r="9467" ht="18" customHeight="1"/>
    <row r="9468" ht="18" customHeight="1"/>
    <row r="9469" ht="18" customHeight="1"/>
    <row r="9470" ht="18" customHeight="1"/>
    <row r="9471" ht="18" customHeight="1"/>
    <row r="9472" ht="18" customHeight="1"/>
    <row r="9473" ht="18" customHeight="1"/>
    <row r="9474" ht="18" customHeight="1"/>
    <row r="9475" ht="18" customHeight="1"/>
    <row r="9476" ht="18" customHeight="1"/>
    <row r="9477" ht="18" customHeight="1"/>
    <row r="9478" ht="18" customHeight="1"/>
    <row r="9479" ht="18" customHeight="1"/>
    <row r="9480" ht="18" customHeight="1"/>
    <row r="9481" ht="18" customHeight="1"/>
    <row r="9482" ht="18" customHeight="1"/>
    <row r="9483" ht="18" customHeight="1"/>
    <row r="9484" ht="18" customHeight="1"/>
    <row r="9485" ht="18" customHeight="1"/>
    <row r="9486" ht="18" customHeight="1"/>
    <row r="9487" ht="18" customHeight="1"/>
    <row r="9488" ht="18" customHeight="1"/>
    <row r="9489" ht="18" customHeight="1"/>
    <row r="9490" ht="18" customHeight="1"/>
    <row r="9491" ht="18" customHeight="1"/>
    <row r="9492" ht="18" customHeight="1"/>
    <row r="9493" ht="18" customHeight="1"/>
    <row r="9494" ht="18" customHeight="1"/>
    <row r="9495" ht="18" customHeight="1"/>
    <row r="9496" ht="18" customHeight="1"/>
    <row r="9497" ht="18" customHeight="1"/>
    <row r="9498" ht="18" customHeight="1"/>
    <row r="9499" ht="18" customHeight="1"/>
    <row r="9500" ht="18" customHeight="1"/>
    <row r="9501" ht="18" customHeight="1"/>
    <row r="9502" ht="18" customHeight="1"/>
    <row r="9503" ht="18" customHeight="1"/>
    <row r="9504" ht="18" customHeight="1"/>
    <row r="9505" ht="18" customHeight="1"/>
    <row r="9506" ht="18" customHeight="1"/>
    <row r="9507" ht="18" customHeight="1"/>
    <row r="9508" ht="18" customHeight="1"/>
    <row r="9509" ht="18" customHeight="1"/>
    <row r="9510" ht="18" customHeight="1"/>
    <row r="9511" ht="18" customHeight="1"/>
    <row r="9512" ht="18" customHeight="1"/>
    <row r="9513" ht="18" customHeight="1"/>
    <row r="9514" ht="18" customHeight="1"/>
    <row r="9515" ht="18" customHeight="1"/>
    <row r="9516" ht="18" customHeight="1"/>
    <row r="9517" ht="18" customHeight="1"/>
    <row r="9518" ht="18" customHeight="1"/>
    <row r="9519" ht="18" customHeight="1"/>
    <row r="9520" ht="18" customHeight="1"/>
    <row r="9521" ht="18" customHeight="1"/>
    <row r="9522" ht="18" customHeight="1"/>
    <row r="9523" ht="18" customHeight="1"/>
    <row r="9524" ht="18" customHeight="1"/>
    <row r="9525" ht="18" customHeight="1"/>
    <row r="9526" ht="18" customHeight="1"/>
    <row r="9527" ht="18" customHeight="1"/>
    <row r="9528" ht="18" customHeight="1"/>
    <row r="9529" ht="18" customHeight="1"/>
    <row r="9530" ht="18" customHeight="1"/>
    <row r="9531" ht="18" customHeight="1"/>
    <row r="9532" ht="18" customHeight="1"/>
    <row r="9533" ht="18" customHeight="1"/>
    <row r="9534" ht="18" customHeight="1"/>
    <row r="9535" ht="18" customHeight="1"/>
    <row r="9536" ht="18" customHeight="1"/>
    <row r="9537" ht="18" customHeight="1"/>
    <row r="9538" ht="18" customHeight="1"/>
    <row r="9539" ht="18" customHeight="1"/>
    <row r="9540" ht="18" customHeight="1"/>
    <row r="9541" ht="18" customHeight="1"/>
    <row r="9542" ht="18" customHeight="1"/>
    <row r="9543" ht="18" customHeight="1"/>
    <row r="9544" ht="18" customHeight="1"/>
    <row r="9545" ht="18" customHeight="1"/>
    <row r="9546" ht="18" customHeight="1"/>
    <row r="9547" ht="18" customHeight="1"/>
    <row r="9548" ht="18" customHeight="1"/>
    <row r="9549" ht="18" customHeight="1"/>
    <row r="9550" ht="18" customHeight="1"/>
    <row r="9551" ht="18" customHeight="1"/>
    <row r="9552" ht="18" customHeight="1"/>
    <row r="9553" ht="18" customHeight="1"/>
    <row r="9554" ht="18" customHeight="1"/>
    <row r="9555" ht="18" customHeight="1"/>
    <row r="9556" ht="18" customHeight="1"/>
    <row r="9557" ht="18" customHeight="1"/>
    <row r="9558" ht="18" customHeight="1"/>
    <row r="9559" ht="18" customHeight="1"/>
    <row r="9560" ht="18" customHeight="1"/>
    <row r="9561" ht="18" customHeight="1"/>
    <row r="9562" ht="18" customHeight="1"/>
    <row r="9563" ht="18" customHeight="1"/>
    <row r="9564" ht="18" customHeight="1"/>
    <row r="9565" ht="18" customHeight="1"/>
    <row r="9566" ht="18" customHeight="1"/>
    <row r="9567" ht="18" customHeight="1"/>
    <row r="9568" ht="18" customHeight="1"/>
    <row r="9569" ht="18" customHeight="1"/>
    <row r="9570" ht="18" customHeight="1"/>
    <row r="9571" ht="18" customHeight="1"/>
    <row r="9572" ht="18" customHeight="1"/>
    <row r="9573" ht="18" customHeight="1"/>
    <row r="9574" ht="18" customHeight="1"/>
    <row r="9575" ht="18" customHeight="1"/>
    <row r="9576" ht="18" customHeight="1"/>
    <row r="9577" ht="18" customHeight="1"/>
    <row r="9578" ht="18" customHeight="1"/>
    <row r="9579" ht="18" customHeight="1"/>
    <row r="9580" ht="18" customHeight="1"/>
    <row r="9581" ht="18" customHeight="1"/>
    <row r="9582" ht="18" customHeight="1"/>
    <row r="9583" ht="18" customHeight="1"/>
    <row r="9584" ht="18" customHeight="1"/>
    <row r="9585" ht="18" customHeight="1"/>
    <row r="9586" ht="18" customHeight="1"/>
    <row r="9587" ht="18" customHeight="1"/>
    <row r="9588" ht="18" customHeight="1"/>
    <row r="9589" ht="18" customHeight="1"/>
    <row r="9590" ht="18" customHeight="1"/>
    <row r="9591" ht="18" customHeight="1"/>
    <row r="9592" ht="18" customHeight="1"/>
    <row r="9593" ht="18" customHeight="1"/>
    <row r="9594" ht="18" customHeight="1"/>
    <row r="9595" ht="18" customHeight="1"/>
    <row r="9596" ht="18" customHeight="1"/>
    <row r="9597" ht="18" customHeight="1"/>
    <row r="9598" ht="18" customHeight="1"/>
    <row r="9599" ht="18" customHeight="1"/>
    <row r="9600" ht="18" customHeight="1"/>
    <row r="9601" ht="18" customHeight="1"/>
    <row r="9602" ht="18" customHeight="1"/>
    <row r="9603" ht="18" customHeight="1"/>
    <row r="9604" ht="18" customHeight="1"/>
    <row r="9605" ht="18" customHeight="1"/>
    <row r="9606" ht="18" customHeight="1"/>
    <row r="9607" ht="18" customHeight="1"/>
    <row r="9608" ht="18" customHeight="1"/>
    <row r="9609" ht="18" customHeight="1"/>
    <row r="9610" ht="18" customHeight="1"/>
    <row r="9611" ht="18" customHeight="1"/>
    <row r="9612" ht="18" customHeight="1"/>
    <row r="9613" ht="18" customHeight="1"/>
    <row r="9614" ht="18" customHeight="1"/>
    <row r="9615" ht="18" customHeight="1"/>
    <row r="9616" ht="18" customHeight="1"/>
    <row r="9617" ht="18" customHeight="1"/>
    <row r="9618" ht="18" customHeight="1"/>
    <row r="9619" ht="18" customHeight="1"/>
    <row r="9620" ht="18" customHeight="1"/>
    <row r="9621" ht="18" customHeight="1"/>
    <row r="9622" ht="18" customHeight="1"/>
    <row r="9623" ht="18" customHeight="1"/>
    <row r="9624" ht="18" customHeight="1"/>
    <row r="9625" ht="18" customHeight="1"/>
    <row r="9626" ht="18" customHeight="1"/>
    <row r="9627" ht="18" customHeight="1"/>
    <row r="9628" ht="18" customHeight="1"/>
    <row r="9629" ht="18" customHeight="1"/>
    <row r="9630" ht="18" customHeight="1"/>
    <row r="9631" ht="18" customHeight="1"/>
    <row r="9632" ht="18" customHeight="1"/>
    <row r="9633" ht="18" customHeight="1"/>
    <row r="9634" ht="18" customHeight="1"/>
    <row r="9635" ht="18" customHeight="1"/>
    <row r="9636" ht="18" customHeight="1"/>
    <row r="9637" ht="18" customHeight="1"/>
    <row r="9638" ht="18" customHeight="1"/>
    <row r="9639" ht="18" customHeight="1"/>
    <row r="9640" ht="18" customHeight="1"/>
    <row r="9641" ht="18" customHeight="1"/>
    <row r="9642" ht="18" customHeight="1"/>
    <row r="9643" ht="18" customHeight="1"/>
    <row r="9644" ht="18" customHeight="1"/>
    <row r="9645" ht="18" customHeight="1"/>
    <row r="9646" ht="18" customHeight="1"/>
    <row r="9647" ht="18" customHeight="1"/>
    <row r="9648" ht="18" customHeight="1"/>
    <row r="9649" ht="18" customHeight="1"/>
    <row r="9650" ht="18" customHeight="1"/>
    <row r="9651" ht="18" customHeight="1"/>
    <row r="9652" ht="18" customHeight="1"/>
    <row r="9653" ht="18" customHeight="1"/>
    <row r="9654" ht="18" customHeight="1"/>
    <row r="9655" ht="18" customHeight="1"/>
    <row r="9656" ht="18" customHeight="1"/>
    <row r="9657" ht="18" customHeight="1"/>
    <row r="9658" ht="18" customHeight="1"/>
    <row r="9659" ht="18" customHeight="1"/>
    <row r="9660" ht="18" customHeight="1"/>
    <row r="9661" ht="18" customHeight="1"/>
    <row r="9662" ht="18" customHeight="1"/>
    <row r="9663" ht="18" customHeight="1"/>
    <row r="9664" ht="18" customHeight="1"/>
    <row r="9665" ht="18" customHeight="1"/>
    <row r="9666" ht="18" customHeight="1"/>
    <row r="9667" ht="18" customHeight="1"/>
    <row r="9668" ht="18" customHeight="1"/>
    <row r="9669" ht="18" customHeight="1"/>
    <row r="9670" ht="18" customHeight="1"/>
    <row r="9671" ht="18" customHeight="1"/>
    <row r="9672" ht="18" customHeight="1"/>
    <row r="9673" ht="18" customHeight="1"/>
    <row r="9674" ht="18" customHeight="1"/>
    <row r="9675" ht="18" customHeight="1"/>
    <row r="9676" ht="18" customHeight="1"/>
    <row r="9677" ht="18" customHeight="1"/>
    <row r="9678" ht="18" customHeight="1"/>
    <row r="9679" ht="18" customHeight="1"/>
    <row r="9680" ht="18" customHeight="1"/>
    <row r="9681" ht="18" customHeight="1"/>
    <row r="9682" ht="18" customHeight="1"/>
    <row r="9683" ht="18" customHeight="1"/>
    <row r="9684" ht="18" customHeight="1"/>
    <row r="9685" ht="18" customHeight="1"/>
    <row r="9686" ht="18" customHeight="1"/>
    <row r="9687" ht="18" customHeight="1"/>
    <row r="9688" ht="18" customHeight="1"/>
    <row r="9689" ht="18" customHeight="1"/>
    <row r="9690" ht="18" customHeight="1"/>
    <row r="9691" ht="18" customHeight="1"/>
    <row r="9692" ht="18" customHeight="1"/>
    <row r="9693" ht="18" customHeight="1"/>
    <row r="9694" ht="18" customHeight="1"/>
    <row r="9695" ht="18" customHeight="1"/>
    <row r="9696" ht="18" customHeight="1"/>
    <row r="9697" ht="18" customHeight="1"/>
    <row r="9698" ht="18" customHeight="1"/>
    <row r="9699" ht="18" customHeight="1"/>
    <row r="9700" ht="18" customHeight="1"/>
    <row r="9701" ht="18" customHeight="1"/>
    <row r="9702" ht="18" customHeight="1"/>
    <row r="9703" ht="18" customHeight="1"/>
    <row r="9704" ht="18" customHeight="1"/>
    <row r="9705" ht="18" customHeight="1"/>
    <row r="9706" ht="18" customHeight="1"/>
    <row r="9707" ht="18" customHeight="1"/>
    <row r="9708" ht="18" customHeight="1"/>
    <row r="9709" ht="18" customHeight="1"/>
    <row r="9710" ht="18" customHeight="1"/>
    <row r="9711" ht="18" customHeight="1"/>
    <row r="9712" ht="18" customHeight="1"/>
    <row r="9713" ht="18" customHeight="1"/>
    <row r="9714" ht="18" customHeight="1"/>
    <row r="9715" ht="18" customHeight="1"/>
    <row r="9716" ht="18" customHeight="1"/>
    <row r="9717" ht="18" customHeight="1"/>
    <row r="9718" ht="18" customHeight="1"/>
    <row r="9719" ht="18" customHeight="1"/>
    <row r="9720" ht="18" customHeight="1"/>
    <row r="9721" ht="18" customHeight="1"/>
    <row r="9722" ht="18" customHeight="1"/>
    <row r="9723" ht="18" customHeight="1"/>
    <row r="9724" ht="18" customHeight="1"/>
    <row r="9725" ht="18" customHeight="1"/>
    <row r="9726" ht="18" customHeight="1"/>
    <row r="9727" ht="18" customHeight="1"/>
    <row r="9728" ht="18" customHeight="1"/>
    <row r="9729" ht="18" customHeight="1"/>
    <row r="9730" ht="18" customHeight="1"/>
    <row r="9731" ht="18" customHeight="1"/>
    <row r="9732" ht="18" customHeight="1"/>
    <row r="9733" ht="18" customHeight="1"/>
    <row r="9734" ht="18" customHeight="1"/>
    <row r="9735" ht="18" customHeight="1"/>
    <row r="9736" ht="18" customHeight="1"/>
    <row r="9737" ht="18" customHeight="1"/>
    <row r="9738" ht="18" customHeight="1"/>
    <row r="9739" ht="18" customHeight="1"/>
    <row r="9740" ht="18" customHeight="1"/>
    <row r="9741" ht="18" customHeight="1"/>
    <row r="9742" ht="18" customHeight="1"/>
    <row r="9743" ht="18" customHeight="1"/>
    <row r="9744" ht="18" customHeight="1"/>
    <row r="9745" ht="18" customHeight="1"/>
    <row r="9746" ht="18" customHeight="1"/>
    <row r="9747" ht="18" customHeight="1"/>
    <row r="9748" ht="18" customHeight="1"/>
    <row r="9749" ht="18" customHeight="1"/>
    <row r="9750" ht="18" customHeight="1"/>
    <row r="9751" ht="18" customHeight="1"/>
    <row r="9752" ht="18" customHeight="1"/>
    <row r="9753" ht="18" customHeight="1"/>
    <row r="9754" ht="18" customHeight="1"/>
    <row r="9755" ht="18" customHeight="1"/>
    <row r="9756" ht="18" customHeight="1"/>
    <row r="9757" ht="18" customHeight="1"/>
    <row r="9758" ht="18" customHeight="1"/>
    <row r="9759" ht="18" customHeight="1"/>
    <row r="9760" ht="18" customHeight="1"/>
    <row r="9761" ht="18" customHeight="1"/>
    <row r="9762" ht="18" customHeight="1"/>
    <row r="9763" ht="18" customHeight="1"/>
    <row r="9764" ht="18" customHeight="1"/>
    <row r="9765" ht="18" customHeight="1"/>
    <row r="9766" ht="18" customHeight="1"/>
    <row r="9767" ht="18" customHeight="1"/>
    <row r="9768" ht="18" customHeight="1"/>
    <row r="9769" ht="18" customHeight="1"/>
    <row r="9770" ht="18" customHeight="1"/>
    <row r="9771" ht="18" customHeight="1"/>
    <row r="9772" ht="18" customHeight="1"/>
    <row r="9773" ht="18" customHeight="1"/>
    <row r="9774" ht="18" customHeight="1"/>
    <row r="9775" ht="18" customHeight="1"/>
    <row r="9776" ht="18" customHeight="1"/>
    <row r="9777" ht="18" customHeight="1"/>
    <row r="9778" ht="18" customHeight="1"/>
    <row r="9779" ht="18" customHeight="1"/>
    <row r="9780" ht="18" customHeight="1"/>
    <row r="9781" ht="18" customHeight="1"/>
    <row r="9782" ht="18" customHeight="1"/>
    <row r="9783" ht="18" customHeight="1"/>
    <row r="9784" ht="18" customHeight="1"/>
    <row r="9785" ht="18" customHeight="1"/>
    <row r="9786" ht="18" customHeight="1"/>
    <row r="9787" ht="18" customHeight="1"/>
    <row r="9788" ht="18" customHeight="1"/>
    <row r="9789" ht="18" customHeight="1"/>
    <row r="9790" ht="18" customHeight="1"/>
    <row r="9791" ht="18" customHeight="1"/>
    <row r="9792" ht="18" customHeight="1"/>
    <row r="9793" ht="18" customHeight="1"/>
    <row r="9794" ht="18" customHeight="1"/>
    <row r="9795" ht="18" customHeight="1"/>
    <row r="9796" ht="18" customHeight="1"/>
    <row r="9797" ht="18" customHeight="1"/>
    <row r="9798" ht="18" customHeight="1"/>
    <row r="9799" ht="18" customHeight="1"/>
    <row r="9800" ht="18" customHeight="1"/>
    <row r="9801" ht="18" customHeight="1"/>
    <row r="9802" ht="18" customHeight="1"/>
    <row r="9803" ht="18" customHeight="1"/>
    <row r="9804" ht="18" customHeight="1"/>
    <row r="9805" ht="18" customHeight="1"/>
    <row r="9806" ht="18" customHeight="1"/>
    <row r="9807" ht="18" customHeight="1"/>
    <row r="9808" ht="18" customHeight="1"/>
    <row r="9809" ht="18" customHeight="1"/>
    <row r="9810" ht="18" customHeight="1"/>
    <row r="9811" ht="18" customHeight="1"/>
    <row r="9812" ht="18" customHeight="1"/>
    <row r="9813" ht="18" customHeight="1"/>
    <row r="9814" ht="18" customHeight="1"/>
    <row r="9815" ht="18" customHeight="1"/>
    <row r="9816" ht="18" customHeight="1"/>
    <row r="9817" ht="18" customHeight="1"/>
    <row r="9818" ht="18" customHeight="1"/>
    <row r="9819" ht="18" customHeight="1"/>
    <row r="9820" ht="18" customHeight="1"/>
    <row r="9821" ht="18" customHeight="1"/>
    <row r="9822" ht="18" customHeight="1"/>
    <row r="9823" ht="18" customHeight="1"/>
    <row r="9824" ht="18" customHeight="1"/>
    <row r="9825" ht="18" customHeight="1"/>
    <row r="9826" ht="18" customHeight="1"/>
    <row r="9827" ht="18" customHeight="1"/>
    <row r="9828" ht="18" customHeight="1"/>
    <row r="9829" ht="18" customHeight="1"/>
    <row r="9830" ht="18" customHeight="1"/>
    <row r="9831" ht="18" customHeight="1"/>
    <row r="9832" ht="18" customHeight="1"/>
    <row r="9833" ht="18" customHeight="1"/>
    <row r="9834" ht="18" customHeight="1"/>
    <row r="9835" ht="18" customHeight="1"/>
    <row r="9836" ht="18" customHeight="1"/>
    <row r="9837" ht="18" customHeight="1"/>
    <row r="9838" ht="18" customHeight="1"/>
    <row r="9839" ht="18" customHeight="1"/>
    <row r="9840" ht="18" customHeight="1"/>
    <row r="9841" ht="18" customHeight="1"/>
    <row r="9842" ht="18" customHeight="1"/>
    <row r="9843" ht="18" customHeight="1"/>
    <row r="9844" ht="18" customHeight="1"/>
    <row r="9845" ht="18" customHeight="1"/>
    <row r="9846" ht="18" customHeight="1"/>
    <row r="9847" ht="18" customHeight="1"/>
    <row r="9848" ht="18" customHeight="1"/>
    <row r="9849" ht="18" customHeight="1"/>
    <row r="9850" ht="18" customHeight="1"/>
    <row r="9851" ht="18" customHeight="1"/>
    <row r="9852" ht="18" customHeight="1"/>
    <row r="9853" ht="18" customHeight="1"/>
    <row r="9854" ht="18" customHeight="1"/>
    <row r="9855" ht="18" customHeight="1"/>
    <row r="9856" ht="18" customHeight="1"/>
    <row r="9857" ht="18" customHeight="1"/>
    <row r="9858" ht="18" customHeight="1"/>
    <row r="9859" ht="18" customHeight="1"/>
    <row r="9860" ht="18" customHeight="1"/>
    <row r="9861" ht="18" customHeight="1"/>
    <row r="9862" ht="18" customHeight="1"/>
    <row r="9863" ht="18" customHeight="1"/>
    <row r="9864" ht="18" customHeight="1"/>
    <row r="9865" ht="18" customHeight="1"/>
    <row r="9866" ht="18" customHeight="1"/>
    <row r="9867" ht="18" customHeight="1"/>
    <row r="9868" ht="18" customHeight="1"/>
    <row r="9869" ht="18" customHeight="1"/>
    <row r="9870" ht="18" customHeight="1"/>
    <row r="9871" ht="18" customHeight="1"/>
    <row r="9872" ht="18" customHeight="1"/>
    <row r="9873" ht="18" customHeight="1"/>
    <row r="9874" ht="18" customHeight="1"/>
    <row r="9875" ht="18" customHeight="1"/>
    <row r="9876" ht="18" customHeight="1"/>
    <row r="9877" ht="18" customHeight="1"/>
    <row r="9878" ht="18" customHeight="1"/>
    <row r="9879" ht="18" customHeight="1"/>
    <row r="9880" ht="18" customHeight="1"/>
    <row r="9881" ht="18" customHeight="1"/>
    <row r="9882" ht="18" customHeight="1"/>
    <row r="9883" ht="18" customHeight="1"/>
    <row r="9884" ht="18" customHeight="1"/>
    <row r="9885" ht="18" customHeight="1"/>
    <row r="9886" ht="18" customHeight="1"/>
    <row r="9887" ht="18" customHeight="1"/>
    <row r="9888" ht="18" customHeight="1"/>
    <row r="9889" ht="18" customHeight="1"/>
    <row r="9890" ht="18" customHeight="1"/>
    <row r="9891" ht="18" customHeight="1"/>
    <row r="9892" ht="18" customHeight="1"/>
    <row r="9893" ht="18" customHeight="1"/>
    <row r="9894" ht="18" customHeight="1"/>
    <row r="9895" ht="18" customHeight="1"/>
    <row r="9896" ht="18" customHeight="1"/>
    <row r="9897" ht="18" customHeight="1"/>
    <row r="9898" ht="18" customHeight="1"/>
    <row r="9899" ht="18" customHeight="1"/>
    <row r="9900" ht="18" customHeight="1"/>
    <row r="9901" ht="18" customHeight="1"/>
    <row r="9902" ht="18" customHeight="1"/>
    <row r="9903" ht="18" customHeight="1"/>
    <row r="9904" ht="18" customHeight="1"/>
    <row r="9905" ht="18" customHeight="1"/>
    <row r="9906" ht="18" customHeight="1"/>
    <row r="9907" ht="18" customHeight="1"/>
    <row r="9908" ht="18" customHeight="1"/>
    <row r="9909" ht="18" customHeight="1"/>
    <row r="9910" ht="18" customHeight="1"/>
    <row r="9911" ht="18" customHeight="1"/>
    <row r="9912" ht="18" customHeight="1"/>
    <row r="9913" ht="18" customHeight="1"/>
    <row r="9914" ht="18" customHeight="1"/>
    <row r="9915" ht="18" customHeight="1"/>
    <row r="9916" ht="18" customHeight="1"/>
    <row r="9917" ht="18" customHeight="1"/>
    <row r="9918" ht="18" customHeight="1"/>
    <row r="9919" ht="18" customHeight="1"/>
    <row r="9920" ht="18" customHeight="1"/>
    <row r="9921" ht="18" customHeight="1"/>
    <row r="9922" ht="18" customHeight="1"/>
    <row r="9923" ht="18" customHeight="1"/>
    <row r="9924" ht="18" customHeight="1"/>
    <row r="9925" ht="18" customHeight="1"/>
    <row r="9926" ht="18" customHeight="1"/>
    <row r="9927" ht="18" customHeight="1"/>
    <row r="9928" ht="18" customHeight="1"/>
    <row r="9929" ht="18" customHeight="1"/>
    <row r="9930" ht="18" customHeight="1"/>
    <row r="9931" ht="18" customHeight="1"/>
    <row r="9932" ht="18" customHeight="1"/>
    <row r="9933" ht="18" customHeight="1"/>
    <row r="9934" ht="18" customHeight="1"/>
    <row r="9935" ht="18" customHeight="1"/>
    <row r="9936" ht="18" customHeight="1"/>
    <row r="9937" ht="18" customHeight="1"/>
    <row r="9938" ht="18" customHeight="1"/>
    <row r="9939" ht="18" customHeight="1"/>
    <row r="9940" ht="18" customHeight="1"/>
    <row r="9941" ht="18" customHeight="1"/>
    <row r="9942" ht="18" customHeight="1"/>
    <row r="9943" ht="18" customHeight="1"/>
    <row r="9944" ht="18" customHeight="1"/>
    <row r="9945" ht="18" customHeight="1"/>
    <row r="9946" ht="18" customHeight="1"/>
    <row r="9947" ht="18" customHeight="1"/>
    <row r="9948" ht="18" customHeight="1"/>
    <row r="9949" ht="18" customHeight="1"/>
    <row r="9950" ht="18" customHeight="1"/>
    <row r="9951" ht="18" customHeight="1"/>
    <row r="9952" ht="18" customHeight="1"/>
    <row r="9953" ht="18" customHeight="1"/>
    <row r="9954" ht="18" customHeight="1"/>
    <row r="9955" ht="18" customHeight="1"/>
    <row r="9956" ht="18" customHeight="1"/>
    <row r="9957" ht="18" customHeight="1"/>
    <row r="9958" ht="18" customHeight="1"/>
    <row r="9959" ht="18" customHeight="1"/>
    <row r="9960" ht="18" customHeight="1"/>
    <row r="9961" ht="18" customHeight="1"/>
    <row r="9962" ht="18" customHeight="1"/>
    <row r="9963" ht="18" customHeight="1"/>
    <row r="9964" ht="18" customHeight="1"/>
    <row r="9965" ht="18" customHeight="1"/>
    <row r="9966" ht="18" customHeight="1"/>
    <row r="9967" ht="18" customHeight="1"/>
    <row r="9968" ht="18" customHeight="1"/>
    <row r="9969" ht="18" customHeight="1"/>
    <row r="9970" ht="18" customHeight="1"/>
    <row r="9971" ht="18" customHeight="1"/>
    <row r="9972" ht="18" customHeight="1"/>
    <row r="9973" ht="18" customHeight="1"/>
    <row r="9974" ht="18" customHeight="1"/>
    <row r="9975" ht="18" customHeight="1"/>
    <row r="9976" ht="18" customHeight="1"/>
    <row r="9977" ht="18" customHeight="1"/>
    <row r="9978" ht="18" customHeight="1"/>
    <row r="9979" ht="18" customHeight="1"/>
    <row r="9980" ht="18" customHeight="1"/>
    <row r="9981" ht="18" customHeight="1"/>
    <row r="9982" ht="18" customHeight="1"/>
    <row r="9983" ht="18" customHeight="1"/>
    <row r="9984" ht="18" customHeight="1"/>
    <row r="9985" ht="18" customHeight="1"/>
    <row r="9986" ht="18" customHeight="1"/>
    <row r="9987" ht="18" customHeight="1"/>
    <row r="9988" ht="18" customHeight="1"/>
    <row r="9989" ht="18" customHeight="1"/>
    <row r="9990" ht="18" customHeight="1"/>
    <row r="9991" ht="18" customHeight="1"/>
    <row r="9992" ht="18" customHeight="1"/>
    <row r="9993" ht="18" customHeight="1"/>
    <row r="9994" ht="18" customHeight="1"/>
    <row r="9995" ht="18" customHeight="1"/>
    <row r="9996" ht="18" customHeight="1"/>
    <row r="9997" ht="18" customHeight="1"/>
    <row r="9998" ht="18" customHeight="1"/>
    <row r="9999" ht="18" customHeight="1"/>
    <row r="10000" ht="18" customHeight="1"/>
    <row r="10001" ht="18" customHeight="1"/>
    <row r="10002" ht="18" customHeight="1"/>
    <row r="10003" ht="18" customHeight="1"/>
    <row r="10004" ht="18" customHeight="1"/>
    <row r="10005" ht="18" customHeight="1"/>
    <row r="10006" ht="18" customHeight="1"/>
    <row r="10007" ht="18" customHeight="1"/>
    <row r="10008" ht="18" customHeight="1"/>
    <row r="10009" ht="18" customHeight="1"/>
    <row r="10010" ht="18" customHeight="1"/>
    <row r="10011" ht="18" customHeight="1"/>
    <row r="10012" ht="18" customHeight="1"/>
    <row r="10013" ht="18" customHeight="1"/>
    <row r="10014" ht="18" customHeight="1"/>
    <row r="10015" ht="18" customHeight="1"/>
    <row r="10016" ht="18" customHeight="1"/>
    <row r="10017" ht="18" customHeight="1"/>
    <row r="10018" ht="18" customHeight="1"/>
    <row r="10019" ht="18" customHeight="1"/>
    <row r="10020" ht="18" customHeight="1"/>
    <row r="10021" ht="18" customHeight="1"/>
    <row r="10022" ht="18" customHeight="1"/>
    <row r="10023" ht="18" customHeight="1"/>
    <row r="10024" ht="18" customHeight="1"/>
    <row r="10025" ht="18" customHeight="1"/>
    <row r="10026" ht="18" customHeight="1"/>
    <row r="10027" ht="18" customHeight="1"/>
    <row r="10028" ht="18" customHeight="1"/>
    <row r="10029" ht="18" customHeight="1"/>
    <row r="10030" ht="18" customHeight="1"/>
    <row r="10031" ht="18" customHeight="1"/>
    <row r="10032" ht="18" customHeight="1"/>
    <row r="10033" ht="18" customHeight="1"/>
    <row r="10034" ht="18" customHeight="1"/>
    <row r="10035" ht="18" customHeight="1"/>
    <row r="10036" ht="18" customHeight="1"/>
    <row r="10037" ht="18" customHeight="1"/>
    <row r="10038" ht="18" customHeight="1"/>
    <row r="10039" ht="18" customHeight="1"/>
    <row r="10040" ht="18" customHeight="1"/>
    <row r="10041" ht="18" customHeight="1"/>
    <row r="10042" ht="18" customHeight="1"/>
    <row r="10043" ht="18" customHeight="1"/>
    <row r="10044" ht="18" customHeight="1"/>
    <row r="10045" ht="18" customHeight="1"/>
    <row r="10046" ht="18" customHeight="1"/>
    <row r="10047" ht="18" customHeight="1"/>
    <row r="10048" ht="18" customHeight="1"/>
    <row r="10049" ht="18" customHeight="1"/>
    <row r="10050" ht="18" customHeight="1"/>
    <row r="10051" ht="18" customHeight="1"/>
    <row r="10052" ht="18" customHeight="1"/>
    <row r="10053" ht="18" customHeight="1"/>
    <row r="10054" ht="18" customHeight="1"/>
    <row r="10055" ht="18" customHeight="1"/>
    <row r="10056" ht="18" customHeight="1"/>
    <row r="10057" ht="18" customHeight="1"/>
    <row r="10058" ht="18" customHeight="1"/>
    <row r="10059" ht="18" customHeight="1"/>
    <row r="10060" ht="18" customHeight="1"/>
    <row r="10061" ht="18" customHeight="1"/>
    <row r="10062" ht="18" customHeight="1"/>
    <row r="10063" ht="18" customHeight="1"/>
    <row r="10064" ht="18" customHeight="1"/>
    <row r="10065" ht="18" customHeight="1"/>
    <row r="10066" ht="18" customHeight="1"/>
    <row r="10067" ht="18" customHeight="1"/>
    <row r="10068" ht="18" customHeight="1"/>
    <row r="10069" ht="18" customHeight="1"/>
    <row r="10070" ht="18" customHeight="1"/>
    <row r="10071" ht="18" customHeight="1"/>
    <row r="10072" ht="18" customHeight="1"/>
    <row r="10073" ht="18" customHeight="1"/>
    <row r="10074" ht="18" customHeight="1"/>
    <row r="10075" ht="18" customHeight="1"/>
    <row r="10076" ht="18" customHeight="1"/>
    <row r="10077" ht="18" customHeight="1"/>
    <row r="10078" ht="18" customHeight="1"/>
    <row r="10079" ht="18" customHeight="1"/>
    <row r="10080" ht="18" customHeight="1"/>
    <row r="10081" ht="18" customHeight="1"/>
    <row r="10082" ht="18" customHeight="1"/>
    <row r="10083" ht="18" customHeight="1"/>
    <row r="10084" ht="18" customHeight="1"/>
    <row r="10085" ht="18" customHeight="1"/>
    <row r="10086" ht="18" customHeight="1"/>
    <row r="10087" ht="18" customHeight="1"/>
    <row r="10088" ht="18" customHeight="1"/>
    <row r="10089" ht="18" customHeight="1"/>
    <row r="10090" ht="18" customHeight="1"/>
    <row r="10091" ht="18" customHeight="1"/>
    <row r="10092" ht="18" customHeight="1"/>
    <row r="10093" ht="18" customHeight="1"/>
    <row r="10094" ht="18" customHeight="1"/>
    <row r="10095" ht="18" customHeight="1"/>
    <row r="10096" ht="18" customHeight="1"/>
    <row r="10097" ht="18" customHeight="1"/>
    <row r="10098" ht="18" customHeight="1"/>
    <row r="10099" ht="18" customHeight="1"/>
    <row r="10100" ht="18" customHeight="1"/>
    <row r="10101" ht="18" customHeight="1"/>
    <row r="10102" ht="18" customHeight="1"/>
    <row r="10103" ht="18" customHeight="1"/>
    <row r="10104" ht="18" customHeight="1"/>
    <row r="10105" ht="18" customHeight="1"/>
    <row r="10106" ht="18" customHeight="1"/>
    <row r="10107" ht="18" customHeight="1"/>
    <row r="10108" ht="18" customHeight="1"/>
    <row r="10109" ht="18" customHeight="1"/>
    <row r="10110" ht="18" customHeight="1"/>
    <row r="10111" ht="18" customHeight="1"/>
    <row r="10112" ht="18" customHeight="1"/>
    <row r="10113" ht="18" customHeight="1"/>
    <row r="10114" ht="18" customHeight="1"/>
    <row r="10115" ht="18" customHeight="1"/>
    <row r="10116" ht="18" customHeight="1"/>
    <row r="10117" ht="18" customHeight="1"/>
    <row r="10118" ht="18" customHeight="1"/>
    <row r="10119" ht="18" customHeight="1"/>
    <row r="10120" ht="18" customHeight="1"/>
    <row r="10121" ht="18" customHeight="1"/>
    <row r="10122" ht="18" customHeight="1"/>
    <row r="10123" ht="18" customHeight="1"/>
    <row r="10124" ht="18" customHeight="1"/>
    <row r="10125" ht="18" customHeight="1"/>
    <row r="10126" ht="18" customHeight="1"/>
    <row r="10127" ht="18" customHeight="1"/>
    <row r="10128" ht="18" customHeight="1"/>
    <row r="10129" ht="18" customHeight="1"/>
    <row r="10130" ht="18" customHeight="1"/>
    <row r="10131" ht="18" customHeight="1"/>
    <row r="10132" ht="18" customHeight="1"/>
    <row r="10133" ht="18" customHeight="1"/>
    <row r="10134" ht="18" customHeight="1"/>
    <row r="10135" ht="18" customHeight="1"/>
    <row r="10136" ht="18" customHeight="1"/>
    <row r="10137" ht="18" customHeight="1"/>
    <row r="10138" ht="18" customHeight="1"/>
    <row r="10139" ht="18" customHeight="1"/>
    <row r="10140" ht="18" customHeight="1"/>
    <row r="10141" ht="18" customHeight="1"/>
    <row r="10142" ht="18" customHeight="1"/>
    <row r="10143" ht="18" customHeight="1"/>
    <row r="10144" ht="18" customHeight="1"/>
    <row r="10145" ht="18" customHeight="1"/>
    <row r="10146" ht="18" customHeight="1"/>
    <row r="10147" ht="18" customHeight="1"/>
    <row r="10148" ht="18" customHeight="1"/>
    <row r="10149" ht="18" customHeight="1"/>
    <row r="10150" ht="18" customHeight="1"/>
    <row r="10151" ht="18" customHeight="1"/>
    <row r="10152" ht="18" customHeight="1"/>
    <row r="10153" ht="18" customHeight="1"/>
    <row r="10154" ht="18" customHeight="1"/>
    <row r="10155" ht="18" customHeight="1"/>
    <row r="10156" ht="18" customHeight="1"/>
    <row r="10157" ht="18" customHeight="1"/>
    <row r="10158" ht="18" customHeight="1"/>
    <row r="10159" ht="18" customHeight="1"/>
    <row r="10160" ht="18" customHeight="1"/>
    <row r="10161" ht="18" customHeight="1"/>
    <row r="10162" ht="18" customHeight="1"/>
    <row r="10163" ht="18" customHeight="1"/>
    <row r="10164" ht="18" customHeight="1"/>
    <row r="10165" ht="18" customHeight="1"/>
    <row r="10166" ht="18" customHeight="1"/>
    <row r="10167" ht="18" customHeight="1"/>
    <row r="10168" ht="18" customHeight="1"/>
    <row r="10169" ht="18" customHeight="1"/>
    <row r="10170" ht="18" customHeight="1"/>
    <row r="10171" ht="18" customHeight="1"/>
    <row r="10172" ht="18" customHeight="1"/>
    <row r="10173" ht="18" customHeight="1"/>
    <row r="10174" ht="18" customHeight="1"/>
    <row r="10175" ht="18" customHeight="1"/>
    <row r="10176" ht="18" customHeight="1"/>
    <row r="10177" ht="18" customHeight="1"/>
    <row r="10178" ht="18" customHeight="1"/>
    <row r="10179" ht="18" customHeight="1"/>
    <row r="10180" ht="18" customHeight="1"/>
    <row r="10181" ht="18" customHeight="1"/>
    <row r="10182" ht="18" customHeight="1"/>
    <row r="10183" ht="18" customHeight="1"/>
    <row r="10184" ht="18" customHeight="1"/>
    <row r="10185" ht="18" customHeight="1"/>
    <row r="10186" ht="18" customHeight="1"/>
    <row r="10187" ht="18" customHeight="1"/>
    <row r="10188" ht="18" customHeight="1"/>
    <row r="10189" ht="18" customHeight="1"/>
    <row r="10190" ht="18" customHeight="1"/>
    <row r="10191" ht="18" customHeight="1"/>
    <row r="10192" ht="18" customHeight="1"/>
    <row r="10193" ht="18" customHeight="1"/>
    <row r="10194" ht="18" customHeight="1"/>
    <row r="10195" ht="18" customHeight="1"/>
    <row r="10196" ht="18" customHeight="1"/>
    <row r="10197" ht="18" customHeight="1"/>
    <row r="10198" ht="18" customHeight="1"/>
    <row r="10199" ht="18" customHeight="1"/>
    <row r="10200" ht="18" customHeight="1"/>
    <row r="10201" ht="18" customHeight="1"/>
    <row r="10202" ht="18" customHeight="1"/>
    <row r="10203" ht="18" customHeight="1"/>
    <row r="10204" ht="18" customHeight="1"/>
    <row r="10205" ht="18" customHeight="1"/>
    <row r="10206" ht="18" customHeight="1"/>
    <row r="10207" ht="18" customHeight="1"/>
    <row r="10208" ht="18" customHeight="1"/>
    <row r="10209" ht="18" customHeight="1"/>
    <row r="10210" ht="18" customHeight="1"/>
    <row r="10211" ht="18" customHeight="1"/>
    <row r="10212" ht="18" customHeight="1"/>
    <row r="10213" ht="18" customHeight="1"/>
    <row r="10214" ht="18" customHeight="1"/>
    <row r="10215" ht="18" customHeight="1"/>
    <row r="10216" ht="18" customHeight="1"/>
    <row r="10217" ht="18" customHeight="1"/>
    <row r="10218" ht="18" customHeight="1"/>
    <row r="10219" ht="18" customHeight="1"/>
    <row r="10220" ht="18" customHeight="1"/>
    <row r="10221" ht="18" customHeight="1"/>
    <row r="10222" ht="18" customHeight="1"/>
    <row r="10223" ht="18" customHeight="1"/>
    <row r="10224" ht="18" customHeight="1"/>
    <row r="10225" ht="18" customHeight="1"/>
    <row r="10226" ht="18" customHeight="1"/>
    <row r="10227" ht="18" customHeight="1"/>
    <row r="10228" ht="18" customHeight="1"/>
    <row r="10229" ht="18" customHeight="1"/>
    <row r="10230" ht="18" customHeight="1"/>
    <row r="10231" ht="18" customHeight="1"/>
    <row r="10232" ht="18" customHeight="1"/>
    <row r="10233" ht="18" customHeight="1"/>
    <row r="10234" ht="18" customHeight="1"/>
    <row r="10235" ht="18" customHeight="1"/>
    <row r="10236" ht="18" customHeight="1"/>
    <row r="10237" ht="18" customHeight="1"/>
    <row r="10238" ht="18" customHeight="1"/>
    <row r="10239" ht="18" customHeight="1"/>
    <row r="10240" ht="18" customHeight="1"/>
    <row r="10241" ht="18" customHeight="1"/>
    <row r="10242" ht="18" customHeight="1"/>
    <row r="10243" ht="18" customHeight="1"/>
    <row r="10244" ht="18" customHeight="1"/>
    <row r="10245" ht="18" customHeight="1"/>
    <row r="10246" ht="18" customHeight="1"/>
    <row r="10247" ht="18" customHeight="1"/>
    <row r="10248" ht="18" customHeight="1"/>
    <row r="10249" ht="18" customHeight="1"/>
    <row r="10250" ht="18" customHeight="1"/>
    <row r="10251" ht="18" customHeight="1"/>
    <row r="10252" ht="18" customHeight="1"/>
    <row r="10253" ht="18" customHeight="1"/>
    <row r="10254" ht="18" customHeight="1"/>
    <row r="10255" ht="18" customHeight="1"/>
    <row r="10256" ht="18" customHeight="1"/>
    <row r="10257" ht="18" customHeight="1"/>
    <row r="10258" ht="18" customHeight="1"/>
    <row r="10259" ht="18" customHeight="1"/>
    <row r="10260" ht="18" customHeight="1"/>
    <row r="10261" ht="18" customHeight="1"/>
    <row r="10262" ht="18" customHeight="1"/>
    <row r="10263" ht="18" customHeight="1"/>
    <row r="10264" ht="18" customHeight="1"/>
    <row r="10265" ht="18" customHeight="1"/>
    <row r="10266" ht="18" customHeight="1"/>
    <row r="10267" ht="18" customHeight="1"/>
    <row r="10268" ht="18" customHeight="1"/>
    <row r="10269" ht="18" customHeight="1"/>
    <row r="10270" ht="18" customHeight="1"/>
    <row r="10271" ht="18" customHeight="1"/>
    <row r="10272" ht="18" customHeight="1"/>
    <row r="10273" ht="18" customHeight="1"/>
    <row r="10274" ht="18" customHeight="1"/>
    <row r="10275" ht="18" customHeight="1"/>
    <row r="10276" ht="18" customHeight="1"/>
    <row r="10277" ht="18" customHeight="1"/>
    <row r="10278" ht="18" customHeight="1"/>
    <row r="10279" ht="18" customHeight="1"/>
    <row r="10280" ht="18" customHeight="1"/>
    <row r="10281" ht="18" customHeight="1"/>
    <row r="10282" ht="18" customHeight="1"/>
    <row r="10283" ht="18" customHeight="1"/>
    <row r="10284" ht="18" customHeight="1"/>
    <row r="10285" ht="18" customHeight="1"/>
    <row r="10286" ht="18" customHeight="1"/>
    <row r="10287" ht="18" customHeight="1"/>
    <row r="10288" ht="18" customHeight="1"/>
    <row r="10289" ht="18" customHeight="1"/>
    <row r="10290" ht="18" customHeight="1"/>
    <row r="10291" ht="18" customHeight="1"/>
    <row r="10292" ht="18" customHeight="1"/>
    <row r="10293" ht="18" customHeight="1"/>
    <row r="10294" ht="18" customHeight="1"/>
    <row r="10295" ht="18" customHeight="1"/>
    <row r="10296" ht="18" customHeight="1"/>
    <row r="10297" ht="18" customHeight="1"/>
    <row r="10298" ht="18" customHeight="1"/>
    <row r="10299" ht="18" customHeight="1"/>
    <row r="10300" ht="18" customHeight="1"/>
    <row r="10301" ht="18" customHeight="1"/>
    <row r="10302" ht="18" customHeight="1"/>
    <row r="10303" ht="18" customHeight="1"/>
    <row r="10304" ht="18" customHeight="1"/>
    <row r="10305" ht="18" customHeight="1"/>
    <row r="10306" ht="18" customHeight="1"/>
    <row r="10307" ht="18" customHeight="1"/>
    <row r="10308" ht="18" customHeight="1"/>
    <row r="10309" ht="18" customHeight="1"/>
    <row r="10310" ht="18" customHeight="1"/>
    <row r="10311" ht="18" customHeight="1"/>
    <row r="10312" ht="18" customHeight="1"/>
    <row r="10313" ht="18" customHeight="1"/>
    <row r="10314" ht="18" customHeight="1"/>
    <row r="10315" ht="18" customHeight="1"/>
    <row r="10316" ht="18" customHeight="1"/>
    <row r="10317" ht="18" customHeight="1"/>
    <row r="10318" ht="18" customHeight="1"/>
    <row r="10319" ht="18" customHeight="1"/>
    <row r="10320" ht="18" customHeight="1"/>
    <row r="10321" ht="18" customHeight="1"/>
    <row r="10322" ht="18" customHeight="1"/>
    <row r="10323" ht="18" customHeight="1"/>
    <row r="10324" ht="18" customHeight="1"/>
    <row r="10325" ht="18" customHeight="1"/>
    <row r="10326" ht="18" customHeight="1"/>
    <row r="10327" ht="18" customHeight="1"/>
    <row r="10328" ht="18" customHeight="1"/>
    <row r="10329" ht="18" customHeight="1"/>
    <row r="10330" ht="18" customHeight="1"/>
    <row r="10331" ht="18" customHeight="1"/>
    <row r="10332" ht="18" customHeight="1"/>
    <row r="10333" ht="18" customHeight="1"/>
    <row r="10334" ht="18" customHeight="1"/>
    <row r="10335" ht="18" customHeight="1"/>
    <row r="10336" ht="18" customHeight="1"/>
    <row r="10337" ht="18" customHeight="1"/>
    <row r="10338" ht="18" customHeight="1"/>
    <row r="10339" ht="18" customHeight="1"/>
    <row r="10340" ht="18" customHeight="1"/>
    <row r="10341" ht="18" customHeight="1"/>
    <row r="10342" ht="18" customHeight="1"/>
    <row r="10343" ht="18" customHeight="1"/>
    <row r="10344" ht="18" customHeight="1"/>
    <row r="10345" ht="18" customHeight="1"/>
    <row r="10346" ht="18" customHeight="1"/>
    <row r="10347" ht="18" customHeight="1"/>
    <row r="10348" ht="18" customHeight="1"/>
    <row r="10349" ht="18" customHeight="1"/>
    <row r="10350" ht="18" customHeight="1"/>
    <row r="10351" ht="18" customHeight="1"/>
    <row r="10352" ht="18" customHeight="1"/>
    <row r="10353" ht="18" customHeight="1"/>
    <row r="10354" ht="18" customHeight="1"/>
    <row r="10355" ht="18" customHeight="1"/>
    <row r="10356" ht="18" customHeight="1"/>
    <row r="10357" ht="18" customHeight="1"/>
    <row r="10358" ht="18" customHeight="1"/>
    <row r="10359" ht="18" customHeight="1"/>
    <row r="10360" ht="18" customHeight="1"/>
    <row r="10361" ht="18" customHeight="1"/>
    <row r="10362" ht="18" customHeight="1"/>
    <row r="10363" ht="18" customHeight="1"/>
    <row r="10364" ht="18" customHeight="1"/>
    <row r="10365" ht="18" customHeight="1"/>
    <row r="10366" ht="18" customHeight="1"/>
    <row r="10367" ht="18" customHeight="1"/>
    <row r="10368" ht="18" customHeight="1"/>
    <row r="10369" ht="18" customHeight="1"/>
    <row r="10370" ht="18" customHeight="1"/>
    <row r="10371" ht="18" customHeight="1"/>
    <row r="10372" ht="18" customHeight="1"/>
    <row r="10373" ht="18" customHeight="1"/>
    <row r="10374" ht="18" customHeight="1"/>
    <row r="10375" ht="18" customHeight="1"/>
    <row r="10376" ht="18" customHeight="1"/>
    <row r="10377" ht="18" customHeight="1"/>
    <row r="10378" ht="18" customHeight="1"/>
    <row r="10379" ht="18" customHeight="1"/>
    <row r="10380" ht="18" customHeight="1"/>
    <row r="10381" ht="18" customHeight="1"/>
    <row r="10382" ht="18" customHeight="1"/>
    <row r="10383" ht="18" customHeight="1"/>
    <row r="10384" ht="18" customHeight="1"/>
    <row r="10385" ht="18" customHeight="1"/>
    <row r="10386" ht="18" customHeight="1"/>
    <row r="10387" ht="18" customHeight="1"/>
    <row r="10388" ht="18" customHeight="1"/>
    <row r="10389" ht="18" customHeight="1"/>
    <row r="10390" ht="18" customHeight="1"/>
    <row r="10391" ht="18" customHeight="1"/>
    <row r="10392" ht="18" customHeight="1"/>
    <row r="10393" ht="18" customHeight="1"/>
    <row r="10394" ht="18" customHeight="1"/>
    <row r="10395" ht="18" customHeight="1"/>
    <row r="10396" ht="18" customHeight="1"/>
    <row r="10397" ht="18" customHeight="1"/>
    <row r="10398" ht="18" customHeight="1"/>
    <row r="10399" ht="18" customHeight="1"/>
    <row r="10400" ht="18" customHeight="1"/>
    <row r="10401" ht="18" customHeight="1"/>
    <row r="10402" ht="18" customHeight="1"/>
    <row r="10403" ht="18" customHeight="1"/>
    <row r="10404" ht="18" customHeight="1"/>
    <row r="10405" ht="18" customHeight="1"/>
    <row r="10406" ht="18" customHeight="1"/>
    <row r="10407" ht="18" customHeight="1"/>
    <row r="10408" ht="18" customHeight="1"/>
    <row r="10409" ht="18" customHeight="1"/>
    <row r="10410" ht="18" customHeight="1"/>
    <row r="10411" ht="18" customHeight="1"/>
    <row r="10412" ht="18" customHeight="1"/>
    <row r="10413" ht="18" customHeight="1"/>
    <row r="10414" ht="18" customHeight="1"/>
    <row r="10415" ht="18" customHeight="1"/>
    <row r="10416" ht="18" customHeight="1"/>
    <row r="10417" ht="18" customHeight="1"/>
    <row r="10418" ht="18" customHeight="1"/>
    <row r="10419" ht="18" customHeight="1"/>
    <row r="10420" ht="18" customHeight="1"/>
    <row r="10421" ht="18" customHeight="1"/>
    <row r="10422" ht="18" customHeight="1"/>
    <row r="10423" ht="18" customHeight="1"/>
    <row r="10424" ht="18" customHeight="1"/>
    <row r="10425" ht="18" customHeight="1"/>
    <row r="10426" ht="18" customHeight="1"/>
    <row r="10427" ht="18" customHeight="1"/>
    <row r="10428" ht="18" customHeight="1"/>
    <row r="10429" ht="18" customHeight="1"/>
    <row r="10430" ht="18" customHeight="1"/>
    <row r="10431" ht="18" customHeight="1"/>
    <row r="10432" ht="18" customHeight="1"/>
    <row r="10433" ht="18" customHeight="1"/>
    <row r="10434" ht="18" customHeight="1"/>
    <row r="10435" ht="18" customHeight="1"/>
    <row r="10436" ht="18" customHeight="1"/>
    <row r="10437" ht="18" customHeight="1"/>
    <row r="10438" ht="18" customHeight="1"/>
    <row r="10439" ht="18" customHeight="1"/>
    <row r="10440" ht="18" customHeight="1"/>
    <row r="10441" ht="18" customHeight="1"/>
    <row r="10442" ht="18" customHeight="1"/>
    <row r="10443" ht="18" customHeight="1"/>
    <row r="10444" ht="18" customHeight="1"/>
    <row r="10445" ht="18" customHeight="1"/>
    <row r="10446" ht="18" customHeight="1"/>
    <row r="10447" ht="18" customHeight="1"/>
    <row r="10448" ht="18" customHeight="1"/>
    <row r="10449" ht="18" customHeight="1"/>
    <row r="10450" ht="18" customHeight="1"/>
    <row r="10451" ht="18" customHeight="1"/>
    <row r="10452" ht="18" customHeight="1"/>
    <row r="10453" ht="18" customHeight="1"/>
    <row r="10454" ht="18" customHeight="1"/>
    <row r="10455" ht="18" customHeight="1"/>
    <row r="10456" ht="18" customHeight="1"/>
    <row r="10457" ht="18" customHeight="1"/>
    <row r="10458" ht="18" customHeight="1"/>
    <row r="10459" ht="18" customHeight="1"/>
    <row r="10460" ht="18" customHeight="1"/>
    <row r="10461" ht="18" customHeight="1"/>
    <row r="10462" ht="18" customHeight="1"/>
    <row r="10463" ht="18" customHeight="1"/>
    <row r="10464" ht="18" customHeight="1"/>
    <row r="10465" ht="18" customHeight="1"/>
    <row r="10466" ht="18" customHeight="1"/>
    <row r="10467" ht="18" customHeight="1"/>
    <row r="10468" ht="18" customHeight="1"/>
    <row r="10469" ht="18" customHeight="1"/>
    <row r="10470" ht="18" customHeight="1"/>
    <row r="10471" ht="18" customHeight="1"/>
    <row r="10472" ht="18" customHeight="1"/>
    <row r="10473" ht="18" customHeight="1"/>
    <row r="10474" ht="18" customHeight="1"/>
    <row r="10475" ht="18" customHeight="1"/>
    <row r="10476" ht="18" customHeight="1"/>
    <row r="10477" ht="18" customHeight="1"/>
    <row r="10478" ht="18" customHeight="1"/>
    <row r="10479" ht="18" customHeight="1"/>
    <row r="10480" ht="18" customHeight="1"/>
    <row r="10481" ht="18" customHeight="1"/>
    <row r="10482" ht="18" customHeight="1"/>
    <row r="10483" ht="18" customHeight="1"/>
    <row r="10484" ht="18" customHeight="1"/>
    <row r="10485" ht="18" customHeight="1"/>
    <row r="10486" ht="18" customHeight="1"/>
    <row r="10487" ht="18" customHeight="1"/>
    <row r="10488" ht="18" customHeight="1"/>
    <row r="10489" ht="18" customHeight="1"/>
    <row r="10490" ht="18" customHeight="1"/>
    <row r="10491" ht="18" customHeight="1"/>
    <row r="10492" ht="18" customHeight="1"/>
    <row r="10493" ht="18" customHeight="1"/>
    <row r="10494" ht="18" customHeight="1"/>
    <row r="10495" ht="18" customHeight="1"/>
    <row r="10496" ht="18" customHeight="1"/>
    <row r="10497" ht="18" customHeight="1"/>
    <row r="10498" ht="18" customHeight="1"/>
    <row r="10499" ht="18" customHeight="1"/>
    <row r="10500" ht="18" customHeight="1"/>
    <row r="10501" ht="18" customHeight="1"/>
    <row r="10502" ht="18" customHeight="1"/>
    <row r="10503" ht="18" customHeight="1"/>
    <row r="10504" ht="18" customHeight="1"/>
    <row r="10505" ht="18" customHeight="1"/>
    <row r="10506" ht="18" customHeight="1"/>
    <row r="10507" ht="18" customHeight="1"/>
    <row r="10508" ht="18" customHeight="1"/>
    <row r="10509" ht="18" customHeight="1"/>
    <row r="10510" ht="18" customHeight="1"/>
    <row r="10511" ht="18" customHeight="1"/>
    <row r="10512" ht="18" customHeight="1"/>
    <row r="10513" ht="18" customHeight="1"/>
    <row r="10514" ht="18" customHeight="1"/>
    <row r="10515" ht="18" customHeight="1"/>
    <row r="10516" ht="18" customHeight="1"/>
    <row r="10517" ht="18" customHeight="1"/>
    <row r="10518" ht="18" customHeight="1"/>
    <row r="10519" ht="18" customHeight="1"/>
    <row r="10520" ht="18" customHeight="1"/>
    <row r="10521" ht="18" customHeight="1"/>
    <row r="10522" ht="18" customHeight="1"/>
    <row r="10523" ht="18" customHeight="1"/>
    <row r="10524" ht="18" customHeight="1"/>
    <row r="10525" ht="18" customHeight="1"/>
    <row r="10526" ht="18" customHeight="1"/>
    <row r="10527" ht="18" customHeight="1"/>
    <row r="10528" ht="18" customHeight="1"/>
    <row r="10529" ht="18" customHeight="1"/>
    <row r="10530" ht="18" customHeight="1"/>
    <row r="10531" ht="18" customHeight="1"/>
    <row r="10532" ht="18" customHeight="1"/>
    <row r="10533" ht="18" customHeight="1"/>
    <row r="10534" ht="18" customHeight="1"/>
    <row r="10535" ht="18" customHeight="1"/>
    <row r="10536" ht="18" customHeight="1"/>
    <row r="10537" ht="18" customHeight="1"/>
    <row r="10538" ht="18" customHeight="1"/>
    <row r="10539" ht="18" customHeight="1"/>
    <row r="10540" ht="18" customHeight="1"/>
    <row r="10541" ht="18" customHeight="1"/>
    <row r="10542" ht="18" customHeight="1"/>
    <row r="10543" ht="18" customHeight="1"/>
    <row r="10544" ht="18" customHeight="1"/>
    <row r="10545" ht="18" customHeight="1"/>
    <row r="10546" ht="18" customHeight="1"/>
    <row r="10547" ht="18" customHeight="1"/>
    <row r="10548" ht="18" customHeight="1"/>
    <row r="10549" ht="18" customHeight="1"/>
    <row r="10550" ht="18" customHeight="1"/>
    <row r="10551" ht="18" customHeight="1"/>
    <row r="10552" ht="18" customHeight="1"/>
    <row r="10553" ht="18" customHeight="1"/>
    <row r="10554" ht="18" customHeight="1"/>
    <row r="10555" ht="18" customHeight="1"/>
    <row r="10556" ht="18" customHeight="1"/>
    <row r="10557" ht="18" customHeight="1"/>
    <row r="10558" ht="18" customHeight="1"/>
    <row r="10559" ht="18" customHeight="1"/>
    <row r="10560" ht="18" customHeight="1"/>
    <row r="10561" ht="18" customHeight="1"/>
    <row r="10562" ht="18" customHeight="1"/>
    <row r="10563" ht="18" customHeight="1"/>
    <row r="10564" ht="18" customHeight="1"/>
    <row r="10565" ht="18" customHeight="1"/>
    <row r="10566" ht="18" customHeight="1"/>
    <row r="10567" ht="18" customHeight="1"/>
    <row r="10568" ht="18" customHeight="1"/>
    <row r="10569" ht="18" customHeight="1"/>
    <row r="10570" ht="18" customHeight="1"/>
    <row r="10571" ht="18" customHeight="1"/>
    <row r="10572" ht="18" customHeight="1"/>
    <row r="10573" ht="18" customHeight="1"/>
    <row r="10574" ht="18" customHeight="1"/>
    <row r="10575" ht="18" customHeight="1"/>
    <row r="10576" ht="18" customHeight="1"/>
    <row r="10577" ht="18" customHeight="1"/>
    <row r="10578" ht="18" customHeight="1"/>
    <row r="10579" ht="18" customHeight="1"/>
    <row r="10580" ht="18" customHeight="1"/>
    <row r="10581" ht="18" customHeight="1"/>
    <row r="10582" ht="18" customHeight="1"/>
    <row r="10583" ht="18" customHeight="1"/>
    <row r="10584" ht="18" customHeight="1"/>
    <row r="10585" ht="18" customHeight="1"/>
    <row r="10586" ht="18" customHeight="1"/>
    <row r="10587" ht="18" customHeight="1"/>
    <row r="10588" ht="18" customHeight="1"/>
    <row r="10589" ht="18" customHeight="1"/>
    <row r="10590" ht="18" customHeight="1"/>
    <row r="10591" ht="18" customHeight="1"/>
    <row r="10592" ht="18" customHeight="1"/>
    <row r="10593" ht="18" customHeight="1"/>
    <row r="10594" ht="18" customHeight="1"/>
    <row r="10595" ht="18" customHeight="1"/>
    <row r="10596" ht="18" customHeight="1"/>
    <row r="10597" ht="18" customHeight="1"/>
    <row r="10598" ht="18" customHeight="1"/>
    <row r="10599" ht="18" customHeight="1"/>
    <row r="10600" ht="18" customHeight="1"/>
    <row r="10601" ht="18" customHeight="1"/>
    <row r="10602" ht="18" customHeight="1"/>
    <row r="10603" ht="18" customHeight="1"/>
    <row r="10604" ht="18" customHeight="1"/>
    <row r="10605" ht="18" customHeight="1"/>
    <row r="10606" ht="18" customHeight="1"/>
    <row r="10607" ht="18" customHeight="1"/>
    <row r="10608" ht="18" customHeight="1"/>
    <row r="10609" ht="18" customHeight="1"/>
    <row r="10610" ht="18" customHeight="1"/>
    <row r="10611" ht="18" customHeight="1"/>
    <row r="10612" ht="18" customHeight="1"/>
    <row r="10613" ht="18" customHeight="1"/>
    <row r="10614" ht="18" customHeight="1"/>
    <row r="10615" ht="18" customHeight="1"/>
    <row r="10616" ht="18" customHeight="1"/>
    <row r="10617" ht="18" customHeight="1"/>
    <row r="10618" ht="18" customHeight="1"/>
    <row r="10619" ht="18" customHeight="1"/>
    <row r="10620" ht="18" customHeight="1"/>
    <row r="10621" ht="18" customHeight="1"/>
    <row r="10622" ht="18" customHeight="1"/>
    <row r="10623" ht="18" customHeight="1"/>
    <row r="10624" ht="18" customHeight="1"/>
    <row r="10625" ht="18" customHeight="1"/>
    <row r="10626" ht="18" customHeight="1"/>
    <row r="10627" ht="18" customHeight="1"/>
    <row r="10628" ht="18" customHeight="1"/>
    <row r="10629" ht="18" customHeight="1"/>
    <row r="10630" ht="18" customHeight="1"/>
    <row r="10631" ht="18" customHeight="1"/>
    <row r="10632" ht="18" customHeight="1"/>
    <row r="10633" ht="18" customHeight="1"/>
    <row r="10634" ht="18" customHeight="1"/>
    <row r="10635" ht="18" customHeight="1"/>
    <row r="10636" ht="18" customHeight="1"/>
    <row r="10637" ht="18" customHeight="1"/>
    <row r="10638" ht="18" customHeight="1"/>
    <row r="10639" ht="18" customHeight="1"/>
    <row r="10640" ht="18" customHeight="1"/>
    <row r="10641" ht="18" customHeight="1"/>
    <row r="10642" ht="18" customHeight="1"/>
    <row r="10643" ht="18" customHeight="1"/>
    <row r="10644" ht="18" customHeight="1"/>
    <row r="10645" ht="18" customHeight="1"/>
    <row r="10646" ht="18" customHeight="1"/>
    <row r="10647" ht="18" customHeight="1"/>
    <row r="10648" ht="18" customHeight="1"/>
    <row r="10649" ht="18" customHeight="1"/>
    <row r="10650" ht="18" customHeight="1"/>
    <row r="10651" ht="18" customHeight="1"/>
    <row r="10652" ht="18" customHeight="1"/>
    <row r="10653" ht="18" customHeight="1"/>
    <row r="10654" ht="18" customHeight="1"/>
    <row r="10655" ht="18" customHeight="1"/>
    <row r="10656" ht="18" customHeight="1"/>
    <row r="10657" ht="18" customHeight="1"/>
    <row r="10658" ht="18" customHeight="1"/>
    <row r="10659" ht="18" customHeight="1"/>
    <row r="10660" ht="18" customHeight="1"/>
    <row r="10661" ht="18" customHeight="1"/>
    <row r="10662" ht="18" customHeight="1"/>
    <row r="10663" ht="18" customHeight="1"/>
    <row r="10664" ht="18" customHeight="1"/>
    <row r="10665" ht="18" customHeight="1"/>
    <row r="10666" ht="18" customHeight="1"/>
    <row r="10667" ht="18" customHeight="1"/>
    <row r="10668" ht="18" customHeight="1"/>
    <row r="10669" ht="18" customHeight="1"/>
    <row r="10670" ht="18" customHeight="1"/>
    <row r="10671" ht="18" customHeight="1"/>
    <row r="10672" ht="18" customHeight="1"/>
    <row r="10673" ht="18" customHeight="1"/>
    <row r="10674" ht="18" customHeight="1"/>
    <row r="10675" ht="18" customHeight="1"/>
    <row r="10676" ht="18" customHeight="1"/>
    <row r="10677" ht="18" customHeight="1"/>
    <row r="10678" ht="18" customHeight="1"/>
    <row r="10679" ht="18" customHeight="1"/>
    <row r="10680" ht="18" customHeight="1"/>
    <row r="10681" ht="18" customHeight="1"/>
    <row r="10682" ht="18" customHeight="1"/>
    <row r="10683" ht="18" customHeight="1"/>
    <row r="10684" ht="18" customHeight="1"/>
    <row r="10685" ht="18" customHeight="1"/>
    <row r="10686" ht="18" customHeight="1"/>
    <row r="10687" ht="18" customHeight="1"/>
    <row r="10688" ht="18" customHeight="1"/>
    <row r="10689" ht="18" customHeight="1"/>
    <row r="10690" ht="18" customHeight="1"/>
    <row r="10691" ht="18" customHeight="1"/>
    <row r="10692" ht="18" customHeight="1"/>
    <row r="10693" ht="18" customHeight="1"/>
    <row r="10694" ht="18" customHeight="1"/>
    <row r="10695" ht="18" customHeight="1"/>
    <row r="10696" ht="18" customHeight="1"/>
    <row r="10697" ht="18" customHeight="1"/>
    <row r="10698" ht="18" customHeight="1"/>
    <row r="10699" ht="18" customHeight="1"/>
    <row r="10700" ht="18" customHeight="1"/>
    <row r="10701" ht="18" customHeight="1"/>
    <row r="10702" ht="18" customHeight="1"/>
    <row r="10703" ht="18" customHeight="1"/>
    <row r="10704" ht="18" customHeight="1"/>
    <row r="10705" ht="18" customHeight="1"/>
    <row r="10706" ht="18" customHeight="1"/>
    <row r="10707" ht="18" customHeight="1"/>
    <row r="10708" ht="18" customHeight="1"/>
    <row r="10709" ht="18" customHeight="1"/>
    <row r="10710" ht="18" customHeight="1"/>
    <row r="10711" ht="18" customHeight="1"/>
    <row r="10712" ht="18" customHeight="1"/>
    <row r="10713" ht="18" customHeight="1"/>
    <row r="10714" ht="18" customHeight="1"/>
    <row r="10715" ht="18" customHeight="1"/>
    <row r="10716" ht="18" customHeight="1"/>
    <row r="10717" ht="18" customHeight="1"/>
    <row r="10718" ht="18" customHeight="1"/>
    <row r="10719" ht="18" customHeight="1"/>
    <row r="10720" ht="18" customHeight="1"/>
    <row r="10721" ht="18" customHeight="1"/>
    <row r="10722" ht="18" customHeight="1"/>
    <row r="10723" ht="18" customHeight="1"/>
    <row r="10724" ht="18" customHeight="1"/>
    <row r="10725" ht="18" customHeight="1"/>
    <row r="10726" ht="18" customHeight="1"/>
    <row r="10727" ht="18" customHeight="1"/>
    <row r="10728" ht="18" customHeight="1"/>
    <row r="10729" ht="18" customHeight="1"/>
    <row r="10730" ht="18" customHeight="1"/>
    <row r="10731" ht="18" customHeight="1"/>
    <row r="10732" ht="18" customHeight="1"/>
    <row r="10733" ht="18" customHeight="1"/>
    <row r="10734" ht="18" customHeight="1"/>
    <row r="10735" ht="18" customHeight="1"/>
    <row r="10736" ht="18" customHeight="1"/>
    <row r="10737" ht="18" customHeight="1"/>
    <row r="10738" ht="18" customHeight="1"/>
    <row r="10739" ht="18" customHeight="1"/>
    <row r="10740" ht="18" customHeight="1"/>
    <row r="10741" ht="18" customHeight="1"/>
    <row r="10742" ht="18" customHeight="1"/>
    <row r="10743" ht="18" customHeight="1"/>
    <row r="10744" ht="18" customHeight="1"/>
    <row r="10745" ht="18" customHeight="1"/>
    <row r="10746" ht="18" customHeight="1"/>
    <row r="10747" ht="18" customHeight="1"/>
    <row r="10748" ht="18" customHeight="1"/>
    <row r="10749" ht="18" customHeight="1"/>
    <row r="10750" ht="18" customHeight="1"/>
    <row r="10751" ht="18" customHeight="1"/>
    <row r="10752" ht="18" customHeight="1"/>
    <row r="10753" ht="18" customHeight="1"/>
    <row r="10754" ht="18" customHeight="1"/>
    <row r="10755" ht="18" customHeight="1"/>
    <row r="10756" ht="18" customHeight="1"/>
    <row r="10757" ht="18" customHeight="1"/>
    <row r="10758" ht="18" customHeight="1"/>
    <row r="10759" ht="18" customHeight="1"/>
    <row r="10760" ht="18" customHeight="1"/>
    <row r="10761" ht="18" customHeight="1"/>
    <row r="10762" ht="18" customHeight="1"/>
    <row r="10763" ht="18" customHeight="1"/>
    <row r="10764" ht="18" customHeight="1"/>
    <row r="10765" ht="18" customHeight="1"/>
    <row r="10766" ht="18" customHeight="1"/>
    <row r="10767" ht="18" customHeight="1"/>
    <row r="10768" ht="18" customHeight="1"/>
    <row r="10769" ht="18" customHeight="1"/>
    <row r="10770" ht="18" customHeight="1"/>
    <row r="10771" ht="18" customHeight="1"/>
    <row r="10772" ht="18" customHeight="1"/>
    <row r="10773" ht="18" customHeight="1"/>
    <row r="10774" ht="18" customHeight="1"/>
    <row r="10775" ht="18" customHeight="1"/>
    <row r="10776" ht="18" customHeight="1"/>
    <row r="10777" ht="18" customHeight="1"/>
    <row r="10778" ht="18" customHeight="1"/>
    <row r="10779" ht="18" customHeight="1"/>
    <row r="10780" ht="18" customHeight="1"/>
    <row r="10781" ht="18" customHeight="1"/>
    <row r="10782" ht="18" customHeight="1"/>
    <row r="10783" ht="18" customHeight="1"/>
    <row r="10784" ht="18" customHeight="1"/>
    <row r="10785" ht="18" customHeight="1"/>
    <row r="10786" ht="18" customHeight="1"/>
    <row r="10787" ht="18" customHeight="1"/>
    <row r="10788" ht="18" customHeight="1"/>
    <row r="10789" ht="18" customHeight="1"/>
    <row r="10790" ht="18" customHeight="1"/>
    <row r="10791" ht="18" customHeight="1"/>
    <row r="10792" ht="18" customHeight="1"/>
    <row r="10793" ht="18" customHeight="1"/>
    <row r="10794" ht="18" customHeight="1"/>
    <row r="10795" ht="18" customHeight="1"/>
    <row r="10796" ht="18" customHeight="1"/>
    <row r="10797" ht="18" customHeight="1"/>
    <row r="10798" ht="18" customHeight="1"/>
    <row r="10799" ht="18" customHeight="1"/>
    <row r="10800" ht="18" customHeight="1"/>
    <row r="10801" ht="18" customHeight="1"/>
    <row r="10802" ht="18" customHeight="1"/>
    <row r="10803" ht="18" customHeight="1"/>
    <row r="10804" ht="18" customHeight="1"/>
    <row r="10805" ht="18" customHeight="1"/>
    <row r="10806" ht="18" customHeight="1"/>
    <row r="10807" ht="18" customHeight="1"/>
    <row r="10808" ht="18" customHeight="1"/>
    <row r="10809" ht="18" customHeight="1"/>
    <row r="10810" ht="18" customHeight="1"/>
    <row r="10811" ht="18" customHeight="1"/>
    <row r="10812" ht="18" customHeight="1"/>
    <row r="10813" ht="18" customHeight="1"/>
    <row r="10814" ht="18" customHeight="1"/>
    <row r="10815" ht="18" customHeight="1"/>
    <row r="10816" ht="18" customHeight="1"/>
    <row r="10817" ht="18" customHeight="1"/>
    <row r="10818" ht="18" customHeight="1"/>
    <row r="10819" ht="18" customHeight="1"/>
    <row r="10820" ht="18" customHeight="1"/>
    <row r="10821" ht="18" customHeight="1"/>
    <row r="10822" ht="18" customHeight="1"/>
    <row r="10823" ht="18" customHeight="1"/>
    <row r="10824" ht="18" customHeight="1"/>
    <row r="10825" ht="18" customHeight="1"/>
    <row r="10826" ht="18" customHeight="1"/>
    <row r="10827" ht="18" customHeight="1"/>
    <row r="10828" ht="18" customHeight="1"/>
    <row r="10829" ht="18" customHeight="1"/>
    <row r="10830" ht="18" customHeight="1"/>
    <row r="10831" ht="18" customHeight="1"/>
    <row r="10832" ht="18" customHeight="1"/>
    <row r="10833" ht="18" customHeight="1"/>
    <row r="10834" ht="18" customHeight="1"/>
    <row r="10835" ht="18" customHeight="1"/>
    <row r="10836" ht="18" customHeight="1"/>
    <row r="10837" ht="18" customHeight="1"/>
    <row r="10838" ht="18" customHeight="1"/>
    <row r="10839" ht="18" customHeight="1"/>
    <row r="10840" ht="18" customHeight="1"/>
    <row r="10841" ht="18" customHeight="1"/>
    <row r="10842" ht="18" customHeight="1"/>
    <row r="10843" ht="18" customHeight="1"/>
    <row r="10844" ht="18" customHeight="1"/>
    <row r="10845" ht="18" customHeight="1"/>
    <row r="10846" ht="18" customHeight="1"/>
    <row r="10847" ht="18" customHeight="1"/>
    <row r="10848" ht="18" customHeight="1"/>
    <row r="10849" ht="18" customHeight="1"/>
    <row r="10850" ht="18" customHeight="1"/>
    <row r="10851" ht="18" customHeight="1"/>
    <row r="10852" ht="18" customHeight="1"/>
    <row r="10853" ht="18" customHeight="1"/>
    <row r="10854" ht="18" customHeight="1"/>
    <row r="10855" ht="18" customHeight="1"/>
    <row r="10856" ht="18" customHeight="1"/>
    <row r="10857" ht="18" customHeight="1"/>
    <row r="10858" ht="18" customHeight="1"/>
    <row r="10859" ht="18" customHeight="1"/>
    <row r="10860" ht="18" customHeight="1"/>
    <row r="10861" ht="18" customHeight="1"/>
    <row r="10862" ht="18" customHeight="1"/>
    <row r="10863" ht="18" customHeight="1"/>
    <row r="10864" ht="18" customHeight="1"/>
    <row r="10865" ht="18" customHeight="1"/>
    <row r="10866" ht="18" customHeight="1"/>
    <row r="10867" ht="18" customHeight="1"/>
    <row r="10868" ht="18" customHeight="1"/>
    <row r="10869" ht="18" customHeight="1"/>
    <row r="10870" ht="18" customHeight="1"/>
    <row r="10871" ht="18" customHeight="1"/>
    <row r="10872" ht="18" customHeight="1"/>
    <row r="10873" ht="18" customHeight="1"/>
    <row r="10874" ht="18" customHeight="1"/>
    <row r="10875" ht="18" customHeight="1"/>
    <row r="10876" ht="18" customHeight="1"/>
    <row r="10877" ht="18" customHeight="1"/>
    <row r="10878" ht="18" customHeight="1"/>
    <row r="10879" ht="18" customHeight="1"/>
    <row r="10880" ht="18" customHeight="1"/>
    <row r="10881" ht="18" customHeight="1"/>
    <row r="10882" ht="18" customHeight="1"/>
    <row r="10883" ht="18" customHeight="1"/>
    <row r="10884" ht="18" customHeight="1"/>
    <row r="10885" ht="18" customHeight="1"/>
    <row r="10886" ht="18" customHeight="1"/>
    <row r="10887" ht="18" customHeight="1"/>
    <row r="10888" ht="18" customHeight="1"/>
    <row r="10889" ht="18" customHeight="1"/>
    <row r="10890" ht="18" customHeight="1"/>
    <row r="10891" ht="18" customHeight="1"/>
    <row r="10892" ht="18" customHeight="1"/>
    <row r="10893" ht="18" customHeight="1"/>
    <row r="10894" ht="18" customHeight="1"/>
    <row r="10895" ht="18" customHeight="1"/>
    <row r="10896" ht="18" customHeight="1"/>
    <row r="10897" ht="18" customHeight="1"/>
    <row r="10898" ht="18" customHeight="1"/>
    <row r="10899" ht="18" customHeight="1"/>
    <row r="10900" ht="18" customHeight="1"/>
    <row r="10901" ht="18" customHeight="1"/>
    <row r="10902" ht="18" customHeight="1"/>
    <row r="10903" ht="18" customHeight="1"/>
    <row r="10904" ht="18" customHeight="1"/>
    <row r="10905" ht="18" customHeight="1"/>
    <row r="10906" ht="18" customHeight="1"/>
    <row r="10907" ht="18" customHeight="1"/>
    <row r="10908" ht="18" customHeight="1"/>
    <row r="10909" ht="18" customHeight="1"/>
    <row r="10910" ht="18" customHeight="1"/>
    <row r="10911" ht="18" customHeight="1"/>
    <row r="10912" ht="18" customHeight="1"/>
    <row r="10913" ht="18" customHeight="1"/>
    <row r="10914" ht="18" customHeight="1"/>
    <row r="10915" ht="18" customHeight="1"/>
    <row r="10916" ht="18" customHeight="1"/>
    <row r="10917" ht="18" customHeight="1"/>
    <row r="10918" ht="18" customHeight="1"/>
    <row r="10919" ht="18" customHeight="1"/>
    <row r="10920" ht="18" customHeight="1"/>
    <row r="10921" ht="18" customHeight="1"/>
    <row r="10922" ht="18" customHeight="1"/>
    <row r="10923" ht="18" customHeight="1"/>
    <row r="10924" ht="18" customHeight="1"/>
    <row r="10925" ht="18" customHeight="1"/>
    <row r="10926" ht="18" customHeight="1"/>
    <row r="10927" ht="18" customHeight="1"/>
    <row r="10928" ht="18" customHeight="1"/>
    <row r="10929" ht="18" customHeight="1"/>
    <row r="10930" ht="18" customHeight="1"/>
    <row r="10931" ht="18" customHeight="1"/>
    <row r="10932" ht="18" customHeight="1"/>
    <row r="10933" ht="18" customHeight="1"/>
    <row r="10934" ht="18" customHeight="1"/>
    <row r="10935" ht="18" customHeight="1"/>
    <row r="10936" ht="18" customHeight="1"/>
    <row r="10937" ht="18" customHeight="1"/>
    <row r="10938" ht="18" customHeight="1"/>
    <row r="10939" ht="18" customHeight="1"/>
    <row r="10940" ht="18" customHeight="1"/>
    <row r="10941" ht="18" customHeight="1"/>
    <row r="10942" ht="18" customHeight="1"/>
    <row r="10943" ht="18" customHeight="1"/>
    <row r="10944" ht="18" customHeight="1"/>
    <row r="10945" ht="18" customHeight="1"/>
    <row r="10946" ht="18" customHeight="1"/>
    <row r="10947" ht="18" customHeight="1"/>
    <row r="10948" ht="18" customHeight="1"/>
    <row r="10949" ht="18" customHeight="1"/>
    <row r="10950" ht="18" customHeight="1"/>
    <row r="10951" ht="18" customHeight="1"/>
    <row r="10952" ht="18" customHeight="1"/>
    <row r="10953" ht="18" customHeight="1"/>
    <row r="10954" ht="18" customHeight="1"/>
    <row r="10955" ht="18" customHeight="1"/>
    <row r="10956" ht="18" customHeight="1"/>
    <row r="10957" ht="18" customHeight="1"/>
    <row r="10958" ht="18" customHeight="1"/>
    <row r="10959" ht="18" customHeight="1"/>
    <row r="10960" ht="18" customHeight="1"/>
    <row r="10961" ht="18" customHeight="1"/>
    <row r="10962" ht="18" customHeight="1"/>
    <row r="10963" ht="18" customHeight="1"/>
    <row r="10964" ht="18" customHeight="1"/>
    <row r="10965" ht="18" customHeight="1"/>
    <row r="10966" ht="18" customHeight="1"/>
    <row r="10967" ht="18" customHeight="1"/>
    <row r="10968" ht="18" customHeight="1"/>
    <row r="10969" ht="18" customHeight="1"/>
    <row r="10970" ht="18" customHeight="1"/>
    <row r="10971" ht="18" customHeight="1"/>
    <row r="10972" ht="18" customHeight="1"/>
    <row r="10973" ht="18" customHeight="1"/>
    <row r="10974" ht="18" customHeight="1"/>
    <row r="10975" ht="18" customHeight="1"/>
    <row r="10976" ht="18" customHeight="1"/>
    <row r="10977" ht="18" customHeight="1"/>
    <row r="10978" ht="18" customHeight="1"/>
    <row r="10979" ht="18" customHeight="1"/>
    <row r="10980" ht="18" customHeight="1"/>
    <row r="10981" ht="18" customHeight="1"/>
    <row r="10982" ht="18" customHeight="1"/>
    <row r="10983" ht="18" customHeight="1"/>
    <row r="10984" ht="18" customHeight="1"/>
    <row r="10985" ht="18" customHeight="1"/>
    <row r="10986" ht="18" customHeight="1"/>
    <row r="10987" ht="18" customHeight="1"/>
    <row r="10988" ht="18" customHeight="1"/>
    <row r="10989" ht="18" customHeight="1"/>
    <row r="10990" ht="18" customHeight="1"/>
    <row r="10991" ht="18" customHeight="1"/>
    <row r="10992" ht="18" customHeight="1"/>
    <row r="10993" ht="18" customHeight="1"/>
    <row r="10994" ht="18" customHeight="1"/>
    <row r="10995" ht="18" customHeight="1"/>
    <row r="10996" ht="18" customHeight="1"/>
    <row r="10997" ht="18" customHeight="1"/>
    <row r="10998" ht="18" customHeight="1"/>
    <row r="10999" ht="18" customHeight="1"/>
    <row r="11000" ht="18" customHeight="1"/>
    <row r="11001" ht="18" customHeight="1"/>
    <row r="11002" ht="18" customHeight="1"/>
    <row r="11003" ht="18" customHeight="1"/>
    <row r="11004" ht="18" customHeight="1"/>
    <row r="11005" ht="18" customHeight="1"/>
    <row r="11006" ht="18" customHeight="1"/>
    <row r="11007" ht="18" customHeight="1"/>
    <row r="11008" ht="18" customHeight="1"/>
    <row r="11009" ht="18" customHeight="1"/>
    <row r="11010" ht="18" customHeight="1"/>
    <row r="11011" ht="18" customHeight="1"/>
    <row r="11012" ht="18" customHeight="1"/>
    <row r="11013" ht="18" customHeight="1"/>
    <row r="11014" ht="18" customHeight="1"/>
    <row r="11015" ht="18" customHeight="1"/>
    <row r="11016" ht="18" customHeight="1"/>
    <row r="11017" ht="18" customHeight="1"/>
    <row r="11018" ht="18" customHeight="1"/>
    <row r="11019" ht="18" customHeight="1"/>
    <row r="11020" ht="18" customHeight="1"/>
    <row r="11021" ht="18" customHeight="1"/>
    <row r="11022" ht="18" customHeight="1"/>
    <row r="11023" ht="18" customHeight="1"/>
    <row r="11024" ht="18" customHeight="1"/>
    <row r="11025" ht="18" customHeight="1"/>
    <row r="11026" ht="18" customHeight="1"/>
    <row r="11027" ht="18" customHeight="1"/>
    <row r="11028" ht="18" customHeight="1"/>
    <row r="11029" ht="18" customHeight="1"/>
    <row r="11030" ht="18" customHeight="1"/>
    <row r="11031" ht="18" customHeight="1"/>
    <row r="11032" ht="18" customHeight="1"/>
    <row r="11033" ht="18" customHeight="1"/>
    <row r="11034" ht="18" customHeight="1"/>
    <row r="11035" ht="18" customHeight="1"/>
    <row r="11036" ht="18" customHeight="1"/>
    <row r="11037" ht="18" customHeight="1"/>
    <row r="11038" ht="18" customHeight="1"/>
    <row r="11039" ht="18" customHeight="1"/>
    <row r="11040" ht="18" customHeight="1"/>
    <row r="11041" ht="18" customHeight="1"/>
    <row r="11042" ht="18" customHeight="1"/>
    <row r="11043" ht="18" customHeight="1"/>
    <row r="11044" ht="18" customHeight="1"/>
    <row r="11045" ht="18" customHeight="1"/>
    <row r="11046" ht="18" customHeight="1"/>
    <row r="11047" ht="18" customHeight="1"/>
    <row r="11048" ht="18" customHeight="1"/>
    <row r="11049" ht="18" customHeight="1"/>
    <row r="11050" ht="18" customHeight="1"/>
    <row r="11051" ht="18" customHeight="1"/>
    <row r="11052" ht="18" customHeight="1"/>
    <row r="11053" ht="18" customHeight="1"/>
    <row r="11054" ht="18" customHeight="1"/>
    <row r="11055" ht="18" customHeight="1"/>
    <row r="11056" ht="18" customHeight="1"/>
    <row r="11057" ht="18" customHeight="1"/>
    <row r="11058" ht="18" customHeight="1"/>
    <row r="11059" ht="18" customHeight="1"/>
    <row r="11060" ht="18" customHeight="1"/>
    <row r="11061" ht="18" customHeight="1"/>
    <row r="11062" ht="18" customHeight="1"/>
    <row r="11063" ht="18" customHeight="1"/>
    <row r="11064" ht="18" customHeight="1"/>
    <row r="11065" ht="18" customHeight="1"/>
    <row r="11066" ht="18" customHeight="1"/>
    <row r="11067" ht="18" customHeight="1"/>
    <row r="11068" ht="18" customHeight="1"/>
    <row r="11069" ht="18" customHeight="1"/>
    <row r="11070" ht="18" customHeight="1"/>
    <row r="11071" ht="18" customHeight="1"/>
    <row r="11072" ht="18" customHeight="1"/>
    <row r="11073" ht="18" customHeight="1"/>
    <row r="11074" ht="18" customHeight="1"/>
    <row r="11075" ht="18" customHeight="1"/>
    <row r="11076" ht="18" customHeight="1"/>
    <row r="11077" ht="18" customHeight="1"/>
    <row r="11078" ht="18" customHeight="1"/>
    <row r="11079" ht="18" customHeight="1"/>
    <row r="11080" ht="18" customHeight="1"/>
    <row r="11081" ht="18" customHeight="1"/>
    <row r="11082" ht="18" customHeight="1"/>
    <row r="11083" ht="18" customHeight="1"/>
    <row r="11084" ht="18" customHeight="1"/>
    <row r="11085" ht="18" customHeight="1"/>
    <row r="11086" ht="18" customHeight="1"/>
    <row r="11087" ht="18" customHeight="1"/>
    <row r="11088" ht="18" customHeight="1"/>
    <row r="11089" ht="18" customHeight="1"/>
    <row r="11090" ht="18" customHeight="1"/>
    <row r="11091" ht="18" customHeight="1"/>
    <row r="11092" ht="18" customHeight="1"/>
    <row r="11093" ht="18" customHeight="1"/>
    <row r="11094" ht="18" customHeight="1"/>
    <row r="11095" ht="18" customHeight="1"/>
    <row r="11096" ht="18" customHeight="1"/>
    <row r="11097" ht="18" customHeight="1"/>
    <row r="11098" ht="18" customHeight="1"/>
    <row r="11099" ht="18" customHeight="1"/>
    <row r="11100" ht="18" customHeight="1"/>
    <row r="11101" ht="18" customHeight="1"/>
    <row r="11102" ht="18" customHeight="1"/>
    <row r="11103" ht="18" customHeight="1"/>
    <row r="11104" ht="18" customHeight="1"/>
    <row r="11105" ht="18" customHeight="1"/>
    <row r="11106" ht="18" customHeight="1"/>
    <row r="11107" ht="18" customHeight="1"/>
    <row r="11108" ht="18" customHeight="1"/>
    <row r="11109" ht="18" customHeight="1"/>
    <row r="11110" ht="18" customHeight="1"/>
    <row r="11111" ht="18" customHeight="1"/>
    <row r="11112" ht="18" customHeight="1"/>
    <row r="11113" ht="18" customHeight="1"/>
    <row r="11114" ht="18" customHeight="1"/>
    <row r="11115" ht="18" customHeight="1"/>
    <row r="11116" ht="18" customHeight="1"/>
    <row r="11117" ht="18" customHeight="1"/>
    <row r="11118" ht="18" customHeight="1"/>
    <row r="11119" ht="18" customHeight="1"/>
    <row r="11120" ht="18" customHeight="1"/>
    <row r="11121" ht="18" customHeight="1"/>
    <row r="11122" ht="18" customHeight="1"/>
    <row r="11123" ht="18" customHeight="1"/>
    <row r="11124" ht="18" customHeight="1"/>
    <row r="11125" ht="18" customHeight="1"/>
    <row r="11126" ht="18" customHeight="1"/>
    <row r="11127" ht="18" customHeight="1"/>
    <row r="11128" ht="18" customHeight="1"/>
    <row r="11129" ht="18" customHeight="1"/>
    <row r="11130" ht="18" customHeight="1"/>
    <row r="11131" ht="18" customHeight="1"/>
    <row r="11132" ht="18" customHeight="1"/>
    <row r="11133" ht="18" customHeight="1"/>
    <row r="11134" ht="18" customHeight="1"/>
    <row r="11135" ht="18" customHeight="1"/>
    <row r="11136" ht="18" customHeight="1"/>
    <row r="11137" ht="18" customHeight="1"/>
    <row r="11138" ht="18" customHeight="1"/>
    <row r="11139" ht="18" customHeight="1"/>
    <row r="11140" ht="18" customHeight="1"/>
    <row r="11141" ht="18" customHeight="1"/>
    <row r="11142" ht="18" customHeight="1"/>
    <row r="11143" ht="18" customHeight="1"/>
    <row r="11144" ht="18" customHeight="1"/>
    <row r="11145" ht="18" customHeight="1"/>
    <row r="11146" ht="18" customHeight="1"/>
    <row r="11147" ht="18" customHeight="1"/>
    <row r="11148" ht="18" customHeight="1"/>
    <row r="11149" ht="18" customHeight="1"/>
    <row r="11150" ht="18" customHeight="1"/>
    <row r="11151" ht="18" customHeight="1"/>
    <row r="11152" ht="18" customHeight="1"/>
    <row r="11153" ht="18" customHeight="1"/>
    <row r="11154" ht="18" customHeight="1"/>
    <row r="11155" ht="18" customHeight="1"/>
    <row r="11156" ht="18" customHeight="1"/>
    <row r="11157" ht="18" customHeight="1"/>
    <row r="11158" ht="18" customHeight="1"/>
    <row r="11159" ht="18" customHeight="1"/>
    <row r="11160" ht="18" customHeight="1"/>
    <row r="11161" ht="18" customHeight="1"/>
    <row r="11162" ht="15" customHeight="1"/>
    <row r="11163" ht="15" customHeight="1"/>
    <row r="11164" ht="15" customHeight="1"/>
    <row r="11165" ht="15" customHeight="1"/>
    <row r="11166" ht="15" customHeight="1"/>
    <row r="11167" ht="15" customHeight="1"/>
    <row r="11168" ht="15" customHeight="1"/>
    <row r="11169" ht="15" customHeight="1"/>
    <row r="11170" ht="15" customHeight="1"/>
    <row r="11171" ht="15" customHeight="1"/>
    <row r="11172" ht="15" customHeight="1"/>
    <row r="11173" ht="15" customHeight="1"/>
    <row r="11174" ht="15" customHeight="1"/>
    <row r="11175" ht="15" customHeight="1"/>
    <row r="11176" ht="15" customHeight="1"/>
    <row r="11177" ht="15" customHeight="1"/>
    <row r="11178" ht="15" customHeight="1"/>
    <row r="11179" ht="15" customHeight="1"/>
    <row r="11180" ht="15" customHeight="1"/>
    <row r="11181" ht="15" customHeight="1"/>
    <row r="11182" ht="15" customHeight="1"/>
    <row r="11183" ht="15" customHeight="1"/>
    <row r="11184" ht="15" customHeight="1"/>
    <row r="11185" ht="15" customHeight="1"/>
    <row r="11186" ht="15" customHeight="1"/>
    <row r="11187" ht="15" customHeight="1"/>
    <row r="11188" ht="15" customHeight="1"/>
    <row r="11189" ht="15" customHeight="1"/>
    <row r="11190" ht="15" customHeight="1"/>
    <row r="11191" ht="15" customHeight="1"/>
    <row r="11192" ht="15" customHeight="1"/>
    <row r="11193" ht="15" customHeight="1"/>
    <row r="11194" ht="15" customHeight="1"/>
    <row r="11195" ht="15" customHeight="1"/>
    <row r="11196" ht="15" customHeight="1"/>
    <row r="11197" ht="15" customHeight="1"/>
    <row r="11198" ht="15" customHeight="1"/>
    <row r="11199" ht="15" customHeight="1"/>
    <row r="11200" ht="15" customHeight="1"/>
    <row r="11201" ht="15" customHeight="1"/>
    <row r="11202" ht="15" customHeight="1"/>
    <row r="11203" ht="15" customHeight="1"/>
    <row r="11204" ht="15" customHeight="1"/>
    <row r="11205" ht="15" customHeight="1"/>
    <row r="11206" ht="15" customHeight="1"/>
    <row r="11207" ht="15" customHeight="1"/>
    <row r="11208" ht="15" customHeight="1"/>
    <row r="11209" ht="15" customHeight="1"/>
    <row r="11210" ht="15" customHeight="1"/>
    <row r="11211" ht="15" customHeight="1"/>
    <row r="11212" ht="15" customHeight="1"/>
    <row r="11213" ht="15" customHeight="1"/>
    <row r="11214" ht="15" customHeight="1"/>
    <row r="11215" ht="15" customHeight="1"/>
    <row r="11216" ht="15" customHeight="1"/>
    <row r="11217" ht="15" customHeight="1"/>
    <row r="11218" ht="15" customHeight="1"/>
    <row r="11219" ht="15" customHeight="1"/>
    <row r="11220" ht="15" customHeight="1"/>
    <row r="11221" ht="15" customHeight="1"/>
    <row r="11222" ht="15" customHeight="1"/>
    <row r="11223" ht="15" customHeight="1"/>
    <row r="11224" ht="15" customHeight="1"/>
    <row r="11225" ht="15" customHeight="1"/>
    <row r="11226" ht="15" customHeight="1"/>
    <row r="11227" ht="15" customHeight="1"/>
    <row r="11228" ht="15" customHeight="1"/>
    <row r="11229" ht="15" customHeight="1"/>
    <row r="11230" ht="15" customHeight="1"/>
    <row r="11231" ht="15" customHeight="1"/>
    <row r="11232" ht="15" customHeight="1"/>
    <row r="11233" ht="15" customHeight="1"/>
    <row r="11234" ht="15" customHeight="1"/>
    <row r="11235" ht="15" customHeight="1"/>
    <row r="11236" ht="15" customHeight="1"/>
    <row r="11237" ht="15" customHeight="1"/>
    <row r="11238" ht="15" customHeight="1"/>
    <row r="11239" ht="15" customHeight="1"/>
    <row r="11240" ht="15" customHeight="1"/>
    <row r="11241" ht="15" customHeight="1"/>
    <row r="11242" ht="15" customHeight="1"/>
    <row r="11243" ht="15" customHeight="1"/>
    <row r="11244" ht="15" customHeight="1"/>
    <row r="11245" ht="15" customHeight="1"/>
    <row r="11246" ht="15" customHeight="1"/>
    <row r="11247" ht="15" customHeight="1"/>
    <row r="11248" ht="15" customHeight="1"/>
    <row r="11249" ht="15" customHeight="1"/>
    <row r="11250" ht="15" customHeight="1"/>
    <row r="11251" ht="15" customHeight="1"/>
    <row r="11252" ht="15" customHeight="1"/>
    <row r="11253" ht="15" customHeight="1"/>
    <row r="11254" ht="15" customHeight="1"/>
    <row r="11255" ht="15" customHeight="1"/>
    <row r="11256" ht="15" customHeight="1"/>
    <row r="11257" ht="15" customHeight="1"/>
    <row r="11258" ht="15" customHeight="1"/>
    <row r="11259" ht="15" customHeight="1"/>
    <row r="11260" ht="15" customHeight="1"/>
    <row r="11261" ht="15" customHeight="1"/>
    <row r="11262" ht="15" customHeight="1"/>
    <row r="11263" ht="15" customHeight="1"/>
    <row r="11264" ht="15" customHeight="1"/>
    <row r="11265" ht="15" customHeight="1"/>
    <row r="11266" ht="15" customHeight="1"/>
    <row r="11267" ht="15" customHeight="1"/>
    <row r="11268" ht="15" customHeight="1"/>
    <row r="11269" ht="15" customHeight="1"/>
    <row r="11270" ht="15" customHeight="1"/>
    <row r="11271" ht="15" customHeight="1"/>
    <row r="11272" ht="15" customHeight="1"/>
    <row r="11273" ht="15" customHeight="1"/>
    <row r="11274" ht="15" customHeight="1"/>
    <row r="11275" ht="15" customHeight="1"/>
    <row r="11276" ht="15" customHeight="1"/>
    <row r="11277" ht="15" customHeight="1"/>
    <row r="11278" ht="15" customHeight="1"/>
    <row r="11279" ht="15" customHeight="1"/>
    <row r="11280" ht="15" customHeight="1"/>
    <row r="11281" ht="15" customHeight="1"/>
    <row r="11282" ht="15" customHeight="1"/>
    <row r="11283" ht="15" customHeight="1"/>
    <row r="11284" ht="15" customHeight="1"/>
    <row r="11285" ht="15" customHeight="1"/>
    <row r="11286" ht="15" customHeight="1"/>
    <row r="11287" ht="15" customHeight="1"/>
    <row r="11288" ht="15" customHeight="1"/>
    <row r="11289" ht="15" customHeight="1"/>
    <row r="11290" ht="15" customHeight="1"/>
    <row r="11291" ht="15" customHeight="1"/>
    <row r="11292" ht="15" customHeight="1"/>
    <row r="11293" ht="15" customHeight="1"/>
    <row r="11294" ht="15" customHeight="1"/>
    <row r="11295" ht="15" customHeight="1"/>
    <row r="11296" ht="15" customHeight="1"/>
    <row r="11297" ht="15" customHeight="1"/>
    <row r="11298" ht="15" customHeight="1"/>
    <row r="11299" ht="15" customHeight="1"/>
    <row r="11300" ht="15" customHeight="1"/>
    <row r="11301" ht="15" customHeight="1"/>
    <row r="11302" ht="15" customHeight="1"/>
    <row r="11303" ht="15" customHeight="1"/>
    <row r="11304" ht="15" customHeight="1"/>
    <row r="11305" ht="15" customHeight="1"/>
    <row r="11306" ht="15" customHeight="1"/>
    <row r="11307" ht="15" customHeight="1"/>
    <row r="11308" ht="15" customHeight="1"/>
    <row r="11309" ht="15" customHeight="1"/>
    <row r="11310" ht="15" customHeight="1"/>
    <row r="11311" ht="15" customHeight="1"/>
    <row r="11312" ht="15" customHeight="1"/>
    <row r="11313" ht="15" customHeight="1"/>
    <row r="11314" ht="15" customHeight="1"/>
    <row r="11315" ht="15" customHeight="1"/>
    <row r="11316" ht="15" customHeight="1"/>
    <row r="11317" ht="15" customHeight="1"/>
    <row r="11318" ht="15" customHeight="1"/>
    <row r="11319" ht="15" customHeight="1"/>
    <row r="11320" ht="15" customHeight="1"/>
    <row r="11321" ht="15" customHeight="1"/>
    <row r="11322" ht="15" customHeight="1"/>
    <row r="11323" ht="15" customHeight="1"/>
    <row r="11324" ht="15" customHeight="1"/>
    <row r="11325" ht="15" customHeight="1"/>
    <row r="11326" ht="15" customHeight="1"/>
    <row r="11327" ht="15" customHeight="1"/>
    <row r="11328" ht="15" customHeight="1"/>
    <row r="11329" ht="24" customHeight="1"/>
    <row r="11330" ht="15" customHeight="1"/>
    <row r="11331" ht="15" customHeight="1"/>
    <row r="11332" ht="15" customHeight="1"/>
    <row r="11333" ht="15" customHeight="1"/>
    <row r="11334" ht="15" customHeight="1"/>
    <row r="11335" ht="15" customHeight="1"/>
    <row r="11336" ht="15" customHeight="1"/>
    <row r="11337" ht="15" customHeight="1"/>
    <row r="11338" ht="15" customHeight="1"/>
    <row r="11339" ht="15" customHeight="1"/>
    <row r="11340" ht="15" customHeight="1"/>
    <row r="11341" ht="15" customHeight="1"/>
    <row r="11342" ht="15" customHeight="1"/>
    <row r="11343" ht="15" customHeight="1"/>
    <row r="11344" ht="15" customHeight="1"/>
    <row r="11345" ht="15" customHeight="1"/>
    <row r="11346" ht="15" customHeight="1"/>
    <row r="11347" ht="15" customHeight="1"/>
    <row r="11348" ht="15" customHeight="1"/>
    <row r="11349" ht="15" customHeight="1"/>
    <row r="11350" ht="15" customHeight="1"/>
    <row r="11351" ht="15" customHeight="1"/>
    <row r="11352" ht="15" customHeight="1"/>
    <row r="11353" ht="15" customHeight="1"/>
    <row r="11354" ht="15" customHeight="1"/>
    <row r="11355" ht="15" customHeight="1"/>
    <row r="11356" ht="15" customHeight="1"/>
    <row r="11357" ht="15" customHeight="1"/>
    <row r="11358" ht="15" customHeight="1"/>
    <row r="11359" ht="15" customHeight="1"/>
    <row r="11360" ht="15" customHeight="1"/>
    <row r="11361" ht="15" customHeight="1"/>
    <row r="11362" ht="15" customHeight="1"/>
    <row r="11363" ht="15" customHeight="1"/>
    <row r="11364" ht="15" customHeight="1"/>
    <row r="11365" ht="15" customHeight="1"/>
    <row r="11366" ht="15" customHeight="1"/>
    <row r="11367" ht="15" customHeight="1"/>
    <row r="11368" ht="15" customHeight="1"/>
    <row r="11369" ht="15" customHeight="1"/>
    <row r="11370" ht="15" customHeight="1"/>
    <row r="11371" ht="15" customHeight="1"/>
    <row r="11372" ht="15" customHeight="1"/>
    <row r="11373" ht="15" customHeight="1"/>
    <row r="11374" ht="15" customHeight="1"/>
    <row r="11375" ht="15" customHeight="1"/>
    <row r="11376" ht="15" customHeight="1"/>
    <row r="11377" ht="15" customHeight="1"/>
    <row r="11378" ht="15" customHeight="1"/>
    <row r="11379" ht="15" customHeight="1"/>
    <row r="11380" ht="15" customHeight="1"/>
    <row r="11381" ht="15" customHeight="1"/>
    <row r="11382" ht="15" customHeight="1"/>
    <row r="11383" ht="15" customHeight="1"/>
    <row r="11384" ht="15" customHeight="1"/>
    <row r="11385" ht="15" customHeight="1"/>
    <row r="11386" ht="15" customHeight="1"/>
    <row r="11387" ht="15" customHeight="1"/>
    <row r="11388" ht="15" customHeight="1"/>
    <row r="11389" ht="15" customHeight="1"/>
    <row r="11390" ht="15" customHeight="1"/>
    <row r="11391" ht="15" customHeight="1"/>
    <row r="11392" ht="15" customHeight="1"/>
    <row r="11393" ht="15" customHeight="1"/>
    <row r="11394" ht="15" customHeight="1"/>
    <row r="11395" ht="15" customHeight="1"/>
    <row r="11396" ht="15" customHeight="1"/>
    <row r="11397" ht="15" customHeight="1"/>
    <row r="11398" ht="15" customHeight="1"/>
    <row r="11399" ht="15" customHeight="1"/>
    <row r="11400" ht="15" customHeight="1"/>
    <row r="11401" ht="15" customHeight="1"/>
    <row r="11402" ht="15" customHeight="1"/>
    <row r="11403" ht="15" customHeight="1"/>
    <row r="11404" ht="15" customHeight="1"/>
    <row r="11405" ht="15" customHeight="1"/>
    <row r="11406" ht="15" customHeight="1"/>
    <row r="11407" ht="15" customHeight="1"/>
    <row r="11408" ht="15" customHeight="1"/>
    <row r="11409" ht="15" customHeight="1"/>
    <row r="11410" ht="15" customHeight="1"/>
    <row r="11411" ht="15" customHeight="1"/>
    <row r="11412" ht="15" customHeight="1"/>
    <row r="11413" ht="15" customHeight="1"/>
    <row r="11414" ht="15" customHeight="1"/>
    <row r="11415" ht="15" customHeight="1"/>
    <row r="11416" ht="15" customHeight="1"/>
    <row r="11417" ht="15" customHeight="1"/>
    <row r="11418" ht="15" customHeight="1"/>
    <row r="11419" ht="15" customHeight="1"/>
    <row r="11420" ht="15" customHeight="1"/>
    <row r="11421" ht="15" customHeight="1"/>
    <row r="11422" ht="15" customHeight="1"/>
    <row r="11423" ht="15" customHeight="1"/>
    <row r="11424" ht="15" customHeight="1"/>
    <row r="11425" ht="15" customHeight="1"/>
    <row r="11426" ht="15" customHeight="1"/>
    <row r="11427" ht="15" customHeight="1"/>
    <row r="11428" ht="15" customHeight="1"/>
    <row r="11429" ht="15" customHeight="1"/>
    <row r="11430" ht="15" customHeight="1"/>
    <row r="11431" ht="15" customHeight="1"/>
    <row r="11432" ht="15" customHeight="1"/>
    <row r="11433" ht="15" customHeight="1"/>
    <row r="11434" ht="15" customHeight="1"/>
    <row r="11435" ht="15" customHeight="1"/>
    <row r="11436" ht="15" customHeight="1"/>
    <row r="11437" ht="15" customHeight="1"/>
    <row r="11438" ht="15" customHeight="1"/>
    <row r="11439" ht="15" customHeight="1"/>
    <row r="11440" ht="15" customHeight="1"/>
    <row r="11441" ht="15" customHeight="1"/>
    <row r="11442" ht="15" customHeight="1"/>
    <row r="11443" ht="15" customHeight="1"/>
    <row r="11444" ht="15" customHeight="1"/>
    <row r="11445" ht="15" customHeight="1"/>
    <row r="11446" ht="15" customHeight="1"/>
    <row r="11447" ht="15" customHeight="1"/>
    <row r="11448" ht="15" customHeight="1"/>
    <row r="11449" ht="15" customHeight="1"/>
    <row r="11450" ht="15" customHeight="1"/>
    <row r="11451" ht="15" customHeight="1"/>
    <row r="11452" ht="15" customHeight="1"/>
    <row r="11453" ht="15" customHeight="1"/>
    <row r="11454" ht="15" customHeight="1"/>
    <row r="11455" ht="15" customHeight="1"/>
    <row r="11456" ht="15" customHeight="1"/>
    <row r="11457" ht="15" customHeight="1"/>
    <row r="11458" ht="15" customHeight="1"/>
    <row r="11459" ht="15" customHeight="1"/>
    <row r="11460" ht="15" customHeight="1"/>
    <row r="11461" ht="15" customHeight="1"/>
    <row r="11462" ht="15" customHeight="1"/>
    <row r="11463" ht="15" customHeight="1"/>
    <row r="11464" ht="15" customHeight="1"/>
    <row r="11465" ht="15" customHeight="1"/>
    <row r="11466" ht="15" customHeight="1"/>
    <row r="11467" ht="15" customHeight="1"/>
    <row r="11468" ht="15" customHeight="1"/>
    <row r="11469" ht="15" customHeight="1"/>
    <row r="11470" ht="15" customHeight="1"/>
    <row r="11471" ht="15" customHeight="1"/>
    <row r="11472" ht="15" customHeight="1"/>
    <row r="11473" ht="15" customHeight="1"/>
    <row r="11474" ht="15" customHeight="1"/>
    <row r="11475" ht="15" customHeight="1"/>
    <row r="11476" ht="15" customHeight="1"/>
    <row r="11477" ht="15" customHeight="1"/>
    <row r="11478" ht="15" customHeight="1"/>
    <row r="11479" ht="15" customHeight="1"/>
    <row r="11480" ht="15" customHeight="1"/>
    <row r="11481" ht="15" customHeight="1"/>
    <row r="11482" ht="15" customHeight="1"/>
    <row r="11483" ht="15" customHeight="1"/>
    <row r="11484" ht="15" customHeight="1"/>
    <row r="11485" ht="15" customHeight="1"/>
    <row r="11486" ht="15" customHeight="1"/>
    <row r="11487" ht="15" customHeight="1"/>
    <row r="11488" ht="15" customHeight="1"/>
    <row r="11489" ht="15" customHeight="1"/>
    <row r="11490" ht="15" customHeight="1"/>
    <row r="11491" ht="15" customHeight="1"/>
    <row r="11492" ht="15" customHeight="1"/>
    <row r="11493" ht="15" customHeight="1"/>
    <row r="11494" ht="15" customHeight="1"/>
    <row r="11495" ht="15" customHeight="1"/>
    <row r="11496" ht="15" customHeight="1"/>
    <row r="11497" ht="15" customHeight="1"/>
    <row r="11498" ht="15" customHeight="1"/>
    <row r="11499" ht="15" customHeight="1"/>
    <row r="11500" ht="24" customHeight="1"/>
    <row r="11501" ht="15" customHeight="1"/>
    <row r="11502" ht="15" customHeight="1"/>
    <row r="11503" ht="15" customHeight="1"/>
    <row r="11504" ht="15" customHeight="1"/>
    <row r="11505" ht="15" customHeight="1"/>
    <row r="11506" ht="15" customHeight="1"/>
    <row r="11507" ht="15" customHeight="1"/>
    <row r="11508" ht="15" customHeight="1"/>
    <row r="11509" ht="15" customHeight="1"/>
    <row r="11510" ht="15" customHeight="1"/>
    <row r="11511" ht="15" customHeight="1"/>
    <row r="11512" ht="15" customHeight="1"/>
    <row r="11513" ht="15" customHeight="1"/>
    <row r="11514" ht="15" customHeight="1"/>
    <row r="11515" ht="15" customHeight="1"/>
    <row r="11516" ht="15" customHeight="1"/>
    <row r="11517" ht="15" customHeight="1"/>
    <row r="11518" ht="15" customHeight="1"/>
    <row r="11519" ht="15" customHeight="1"/>
    <row r="11520" ht="15" customHeight="1"/>
    <row r="11521" ht="15" customHeight="1"/>
    <row r="11522" ht="15" customHeight="1"/>
    <row r="11523" ht="15" customHeight="1"/>
    <row r="11524" ht="15" customHeight="1"/>
    <row r="11525" ht="15" customHeight="1"/>
    <row r="11526" ht="15" customHeight="1"/>
    <row r="11527" ht="15" customHeight="1"/>
    <row r="11528" ht="15" customHeight="1"/>
    <row r="11529" ht="15" customHeight="1"/>
    <row r="11530" ht="15" customHeight="1"/>
    <row r="11531" ht="15" customHeight="1"/>
    <row r="11532" ht="15" customHeight="1"/>
    <row r="11533" ht="15" customHeight="1"/>
    <row r="11534" ht="15" customHeight="1"/>
    <row r="11535" ht="15" customHeight="1"/>
    <row r="11536" ht="15" customHeight="1"/>
    <row r="11537" ht="15" customHeight="1"/>
    <row r="11538" ht="15" customHeight="1"/>
    <row r="11539" ht="15" customHeight="1"/>
    <row r="11540" ht="15" customHeight="1"/>
    <row r="11541" ht="15" customHeight="1"/>
    <row r="11542" ht="15" customHeight="1"/>
    <row r="11543" ht="15" customHeight="1"/>
    <row r="11544" ht="15" customHeight="1"/>
    <row r="11545" ht="15" customHeight="1"/>
    <row r="11546" ht="15" customHeight="1"/>
    <row r="11547" ht="15" customHeight="1"/>
    <row r="11548" ht="15" customHeight="1"/>
    <row r="11549" ht="15" customHeight="1"/>
    <row r="11550" ht="15" customHeight="1"/>
    <row r="11551" ht="15" customHeight="1"/>
    <row r="11552" ht="15" customHeight="1"/>
    <row r="11553" ht="15" customHeight="1"/>
    <row r="11554" ht="15" customHeight="1"/>
    <row r="11555" ht="15" customHeight="1"/>
    <row r="11556" ht="15" customHeight="1"/>
    <row r="11557" ht="15" customHeight="1"/>
    <row r="11558" ht="15" customHeight="1"/>
    <row r="11559" ht="15" customHeight="1"/>
    <row r="11560" ht="15" customHeight="1"/>
    <row r="11561" ht="15" customHeight="1"/>
    <row r="11562" ht="15" customHeight="1"/>
    <row r="11563" ht="15" customHeight="1"/>
    <row r="11564" ht="15" customHeight="1"/>
    <row r="11565" ht="15" customHeight="1"/>
    <row r="11566" ht="15" customHeight="1"/>
    <row r="11567" ht="15" customHeight="1"/>
    <row r="11568" ht="15" customHeight="1"/>
    <row r="11569" ht="15" customHeight="1"/>
    <row r="11570" ht="15" customHeight="1"/>
    <row r="11571" ht="15" customHeight="1"/>
    <row r="11572" ht="15" customHeight="1"/>
    <row r="11573" ht="15" customHeight="1"/>
    <row r="11574" ht="15" customHeight="1"/>
    <row r="11575" ht="15" customHeight="1"/>
    <row r="11576" ht="15" customHeight="1"/>
    <row r="11577" ht="15" customHeight="1"/>
    <row r="11578" ht="15" customHeight="1"/>
    <row r="11579" ht="15" customHeight="1"/>
    <row r="11580" ht="15" customHeight="1"/>
    <row r="11581" ht="15" customHeight="1"/>
    <row r="11582" ht="15" customHeight="1"/>
    <row r="11583" ht="15" customHeight="1"/>
    <row r="11584" ht="15" customHeight="1"/>
    <row r="11585" ht="15" customHeight="1"/>
    <row r="11586" ht="15" customHeight="1"/>
    <row r="11587" ht="15" customHeight="1"/>
    <row r="11588" ht="15" customHeight="1"/>
    <row r="11589" ht="15" customHeight="1"/>
    <row r="11590" ht="15" customHeight="1"/>
    <row r="11591" ht="15" customHeight="1"/>
    <row r="11592" ht="15" customHeight="1"/>
    <row r="11593" ht="15" customHeight="1"/>
    <row r="11594" ht="15" customHeight="1"/>
    <row r="11595" ht="15" customHeight="1"/>
    <row r="11596" ht="15" customHeight="1"/>
    <row r="11597" ht="15" customHeight="1"/>
    <row r="11598" ht="15" customHeight="1"/>
    <row r="11599" ht="15" customHeight="1"/>
    <row r="11600" ht="15" customHeight="1"/>
    <row r="11601" ht="15" customHeight="1"/>
    <row r="11602" ht="15" customHeight="1"/>
    <row r="11603" ht="15" customHeight="1"/>
    <row r="11604" ht="15" customHeight="1"/>
    <row r="11605" ht="15" customHeight="1"/>
    <row r="11606" ht="15" customHeight="1"/>
    <row r="11607" ht="15" customHeight="1"/>
    <row r="11608" ht="15" customHeight="1"/>
    <row r="11609" ht="15" customHeight="1"/>
    <row r="11610" ht="15" customHeight="1"/>
    <row r="11611" ht="15" customHeight="1"/>
    <row r="11612" ht="15" customHeight="1"/>
    <row r="11613" ht="15" customHeight="1"/>
    <row r="11614" ht="15" customHeight="1"/>
    <row r="11615" ht="15" customHeight="1"/>
    <row r="11616" ht="15" customHeight="1"/>
    <row r="11617" ht="15" customHeight="1"/>
    <row r="11618" ht="15" customHeight="1"/>
    <row r="11619" ht="15" customHeight="1"/>
    <row r="11620" ht="15" customHeight="1"/>
    <row r="11621" ht="15" customHeight="1"/>
    <row r="11622" ht="15" customHeight="1"/>
    <row r="11623" ht="15" customHeight="1"/>
    <row r="11624" ht="15" customHeight="1"/>
    <row r="11625" ht="15" customHeight="1"/>
    <row r="11626" ht="15" customHeight="1"/>
    <row r="11627" ht="15" customHeight="1"/>
    <row r="11628" ht="15" customHeight="1"/>
    <row r="11629" ht="15" customHeight="1"/>
    <row r="11630" ht="15" customHeight="1"/>
    <row r="11631" ht="15" customHeight="1"/>
    <row r="11632" ht="15" customHeight="1"/>
    <row r="11633" ht="15" customHeight="1"/>
    <row r="11634" ht="15" customHeight="1"/>
    <row r="11635" ht="15" customHeight="1"/>
    <row r="11636" ht="15" customHeight="1"/>
    <row r="11637" ht="15" customHeight="1"/>
    <row r="11638" ht="15" customHeight="1"/>
    <row r="11639" ht="15" customHeight="1"/>
    <row r="11640" ht="15" customHeight="1"/>
    <row r="11641" ht="15" customHeight="1"/>
    <row r="11642" ht="15" customHeight="1"/>
    <row r="11643" ht="15" customHeight="1"/>
    <row r="11644" ht="15" customHeight="1"/>
    <row r="11645" ht="15" customHeight="1"/>
    <row r="11646" ht="15" customHeight="1"/>
    <row r="11647" ht="15" customHeight="1"/>
    <row r="11648" ht="15" customHeight="1"/>
    <row r="11649" ht="15" customHeight="1"/>
    <row r="11650" ht="15" customHeight="1"/>
    <row r="11651" ht="15" customHeight="1"/>
    <row r="11652" ht="15" customHeight="1"/>
    <row r="11653" ht="15" customHeight="1"/>
    <row r="11654" ht="15" customHeight="1"/>
    <row r="11655" ht="24" customHeight="1"/>
    <row r="11656" ht="24" customHeight="1"/>
    <row r="11657" ht="15" customHeight="1"/>
    <row r="11658" ht="35.25" customHeight="1"/>
    <row r="11659" ht="15" customHeight="1"/>
    <row r="11660" ht="15" customHeight="1"/>
    <row r="11661" ht="15" customHeight="1"/>
    <row r="11662" ht="15" customHeight="1"/>
    <row r="11663" ht="35.25" customHeight="1"/>
    <row r="11664" ht="24" customHeight="1"/>
    <row r="11665" ht="15" customHeight="1"/>
    <row r="11666" ht="24" customHeight="1"/>
    <row r="11667" ht="24" customHeight="1"/>
    <row r="11668" ht="24" customHeight="1"/>
    <row r="11669" ht="15" customHeight="1"/>
    <row r="11670" ht="15" customHeight="1"/>
    <row r="11671" ht="15" customHeight="1"/>
    <row r="11672" ht="24" customHeight="1"/>
    <row r="11673" ht="24" customHeight="1"/>
    <row r="11674" ht="24" customHeight="1"/>
    <row r="11675" ht="24" customHeight="1"/>
    <row r="11676" ht="15" customHeight="1"/>
    <row r="11677" ht="24" customHeight="1"/>
    <row r="11678" ht="24" customHeight="1"/>
    <row r="11679" ht="15" customHeight="1"/>
    <row r="11680" ht="15" customHeight="1"/>
    <row r="11681" ht="15" customHeight="1"/>
    <row r="11682" ht="15" customHeight="1"/>
    <row r="11683" ht="24" customHeight="1"/>
    <row r="11684" ht="35.25" customHeight="1"/>
    <row r="11685" ht="24" customHeight="1"/>
    <row r="11686" ht="24" customHeight="1"/>
    <row r="11687" ht="24" customHeight="1"/>
    <row r="11688" ht="24" customHeight="1"/>
    <row r="11689" ht="35.25" customHeight="1"/>
    <row r="11690" ht="15" customHeight="1"/>
    <row r="11691" ht="24" customHeight="1"/>
    <row r="11692" ht="15" customHeight="1"/>
    <row r="11693" ht="15" customHeight="1"/>
    <row r="11694" ht="24" customHeight="1"/>
    <row r="11695" ht="24" customHeight="1"/>
    <row r="11696" ht="24" customHeight="1"/>
    <row r="11697" ht="15" customHeight="1"/>
    <row r="11698" ht="15" customHeight="1"/>
    <row r="11699" ht="15" customHeight="1"/>
    <row r="11700" ht="35.25" customHeight="1"/>
    <row r="11701" ht="24" customHeight="1"/>
    <row r="11702" ht="24" customHeight="1"/>
    <row r="11703" ht="15" customHeight="1"/>
    <row r="11704" ht="24" customHeight="1"/>
    <row r="11705" ht="15" customHeight="1"/>
    <row r="11706" ht="24" customHeight="1"/>
    <row r="11707" ht="15" customHeight="1"/>
    <row r="11708" ht="15" customHeight="1"/>
    <row r="11709" ht="24" customHeight="1"/>
    <row r="11710" ht="24" customHeight="1"/>
    <row r="11711" ht="15" customHeight="1"/>
    <row r="11712" ht="15" customHeight="1"/>
    <row r="11713" ht="24" customHeight="1"/>
    <row r="11714" ht="15" customHeight="1"/>
    <row r="11715" ht="15" customHeight="1"/>
    <row r="11716" ht="15" customHeight="1"/>
    <row r="11717" ht="15" customHeight="1"/>
    <row r="11718" ht="15" customHeight="1"/>
    <row r="11719" ht="15" customHeight="1"/>
    <row r="11720" ht="15" customHeight="1"/>
    <row r="11721" ht="15" customHeight="1"/>
    <row r="11722" ht="24" customHeight="1"/>
    <row r="11723" ht="15" customHeight="1"/>
    <row r="11724" ht="24" customHeight="1"/>
    <row r="11725" ht="15" customHeight="1"/>
    <row r="11726" ht="15" customHeight="1"/>
    <row r="11727" ht="15" customHeight="1"/>
    <row r="11728" ht="15" customHeight="1"/>
    <row r="11729" ht="35.25" customHeight="1"/>
    <row r="11730" ht="24" customHeight="1"/>
    <row r="11731" ht="15" customHeight="1"/>
    <row r="11732" ht="15" customHeight="1"/>
    <row r="11733" ht="24" customHeight="1"/>
    <row r="11734" ht="24" customHeight="1"/>
    <row r="11735" ht="35.25" customHeight="1"/>
    <row r="11736" ht="15" customHeight="1"/>
    <row r="11737" ht="35.25" customHeight="1"/>
    <row r="11738" ht="15" customHeight="1"/>
    <row r="11739" ht="15" customHeight="1"/>
    <row r="11740" ht="15" customHeight="1"/>
    <row r="11741" ht="24" customHeight="1"/>
    <row r="11742" ht="15" customHeight="1"/>
    <row r="11743" ht="24" customHeight="1"/>
    <row r="11744" ht="15" customHeight="1"/>
    <row r="11745" ht="24" customHeight="1"/>
    <row r="11746" ht="15" customHeight="1"/>
    <row r="11747" ht="24" customHeight="1"/>
    <row r="11748" ht="15" customHeight="1"/>
    <row r="11749" ht="15" customHeight="1"/>
    <row r="11750" ht="15" customHeight="1"/>
    <row r="11751" ht="15" customHeight="1"/>
    <row r="11752" ht="24" customHeight="1"/>
    <row r="11753" ht="15" customHeight="1"/>
    <row r="11754" ht="15" customHeight="1"/>
    <row r="11755" ht="15" customHeight="1"/>
    <row r="11756" ht="15" customHeight="1"/>
    <row r="11757" ht="15" customHeight="1"/>
    <row r="11758" ht="15" customHeight="1"/>
    <row r="11759" ht="24" customHeight="1"/>
    <row r="11760" ht="24" customHeight="1"/>
    <row r="11761" ht="46.5" customHeight="1"/>
    <row r="11762" ht="15" customHeight="1"/>
    <row r="11763" ht="15" customHeight="1"/>
    <row r="11764" ht="15" customHeight="1"/>
    <row r="11765" ht="15" customHeight="1"/>
    <row r="11766" ht="15" customHeight="1"/>
    <row r="11767" ht="15" customHeight="1"/>
    <row r="11768" ht="24" customHeight="1"/>
    <row r="11769" ht="15" customHeight="1"/>
    <row r="11770" ht="24" customHeight="1"/>
    <row r="11771" ht="24" customHeight="1"/>
    <row r="11772" ht="15" customHeight="1"/>
    <row r="11773" ht="24" customHeight="1"/>
    <row r="11774" ht="35.25" customHeight="1"/>
    <row r="11775" ht="24" customHeight="1"/>
    <row r="11776" ht="24" customHeight="1"/>
    <row r="11777" ht="24" customHeight="1"/>
    <row r="11778" ht="24" customHeight="1"/>
    <row r="11779" ht="15" customHeight="1"/>
    <row r="11780" ht="15" customHeight="1"/>
    <row r="11781" ht="24" customHeight="1"/>
    <row r="11782" ht="15" customHeight="1"/>
    <row r="11783" ht="15" customHeight="1"/>
    <row r="11784" ht="24" customHeight="1"/>
    <row r="11785" ht="24" customHeight="1"/>
    <row r="11786" ht="24" customHeight="1"/>
    <row r="11787" ht="15" customHeight="1"/>
    <row r="11788" ht="15" customHeight="1"/>
    <row r="11789" ht="15" customHeight="1"/>
    <row r="11790" ht="24" customHeight="1"/>
    <row r="11791" ht="15" customHeight="1"/>
    <row r="11792" ht="15" customHeight="1"/>
    <row r="11793" ht="15" customHeight="1"/>
    <row r="11794" ht="15" customHeight="1"/>
    <row r="11795" ht="24" customHeight="1"/>
    <row r="11796" ht="15" customHeight="1"/>
    <row r="11797" ht="15" customHeight="1"/>
    <row r="11798" ht="24" customHeight="1"/>
    <row r="11799" ht="24" customHeight="1"/>
    <row r="11800" ht="15" customHeight="1"/>
    <row r="11801" ht="24" customHeight="1"/>
    <row r="11802" ht="15" customHeight="1"/>
    <row r="11803" ht="15" customHeight="1"/>
    <row r="11804" ht="15" customHeight="1"/>
    <row r="11805" ht="15" customHeight="1"/>
    <row r="11806" ht="15" customHeight="1"/>
    <row r="11807" ht="15" customHeight="1"/>
    <row r="11808" ht="15" customHeight="1"/>
    <row r="11809" ht="15" customHeight="1"/>
    <row r="11810" ht="15" customHeight="1"/>
    <row r="11811" ht="15" customHeight="1"/>
    <row r="11812" ht="24" customHeight="1"/>
    <row r="11813" ht="15" customHeight="1"/>
    <row r="11814" ht="15" customHeight="1"/>
    <row r="11815" ht="15" customHeight="1"/>
    <row r="11816" ht="24" customHeight="1"/>
    <row r="11817" ht="24" customHeight="1"/>
    <row r="11818" ht="15" customHeight="1"/>
    <row r="11819" ht="24" customHeight="1"/>
    <row r="11820" ht="35.25" customHeight="1"/>
    <row r="11821" ht="15" customHeight="1"/>
    <row r="11822" ht="24" customHeight="1"/>
    <row r="11823" ht="15" customHeight="1"/>
    <row r="11824" ht="15" customHeight="1"/>
    <row r="11825" ht="24" customHeight="1"/>
    <row r="11826" ht="24" customHeight="1"/>
    <row r="11827" ht="15" customHeight="1"/>
    <row r="11828" ht="24" customHeight="1"/>
    <row r="11829" ht="15" customHeight="1"/>
    <row r="11830" ht="15" customHeight="1"/>
    <row r="11831" ht="24" customHeight="1"/>
    <row r="11832" ht="15" customHeight="1"/>
    <row r="11833" ht="15" customHeight="1"/>
    <row r="11834" ht="24" customHeight="1"/>
    <row r="11835" ht="15" customHeight="1"/>
    <row r="11836" ht="15" customHeight="1"/>
    <row r="11837" ht="15" customHeight="1"/>
    <row r="11838" ht="24" customHeight="1"/>
    <row r="11839" ht="24" customHeight="1"/>
    <row r="11840" ht="15" customHeight="1"/>
    <row r="11841" ht="15" customHeight="1"/>
    <row r="11842" ht="24" customHeight="1"/>
    <row r="11843" ht="15" customHeight="1"/>
    <row r="11844" ht="15" customHeight="1"/>
    <row r="11845" ht="15" customHeight="1"/>
    <row r="11846" ht="15" customHeight="1"/>
    <row r="11847" ht="35.25" customHeight="1"/>
    <row r="11848" ht="15" customHeight="1"/>
    <row r="11849" ht="15" customHeight="1"/>
    <row r="11850" ht="24" customHeight="1"/>
    <row r="11851" ht="15" customHeight="1"/>
    <row r="11852" ht="24" customHeight="1"/>
    <row r="11853" ht="15" customHeight="1"/>
    <row r="11854" ht="15" customHeight="1"/>
    <row r="11855" ht="15" customHeight="1"/>
    <row r="11856" ht="24" customHeight="1"/>
    <row r="11857" ht="15" customHeight="1"/>
    <row r="11858" ht="15" customHeight="1"/>
    <row r="11859" ht="24" customHeight="1"/>
    <row r="11860" ht="15" customHeight="1"/>
    <row r="11861" ht="15" customHeight="1"/>
    <row r="11862" ht="15" customHeight="1"/>
    <row r="11863" ht="15" customHeight="1"/>
    <row r="11864" ht="15" customHeight="1"/>
    <row r="11865" ht="24" customHeight="1"/>
    <row r="11866" ht="24" customHeight="1"/>
    <row r="11867" ht="15" customHeight="1"/>
    <row r="11868" ht="24" customHeight="1"/>
    <row r="11869" ht="15" customHeight="1"/>
    <row r="11870" ht="15" customHeight="1"/>
    <row r="11871" ht="24" customHeight="1"/>
    <row r="11872" ht="35.25" customHeight="1"/>
    <row r="11873" ht="15" customHeight="1"/>
    <row r="11874" ht="15" customHeight="1"/>
    <row r="11875" ht="15" customHeight="1"/>
    <row r="11876" ht="15" customHeight="1"/>
    <row r="11877" ht="24" customHeight="1"/>
    <row r="11878" ht="15" customHeight="1"/>
    <row r="11879" ht="15" customHeight="1"/>
    <row r="11880" ht="15" customHeight="1"/>
    <row r="11881" ht="24" customHeight="1"/>
    <row r="11882" ht="15" customHeight="1"/>
    <row r="11883" ht="15" customHeight="1"/>
    <row r="11884" ht="24" customHeight="1"/>
    <row r="11885" ht="15" customHeight="1"/>
    <row r="11886" ht="24" customHeight="1"/>
    <row r="11887" ht="15" customHeight="1"/>
    <row r="11888" ht="35.25" customHeight="1"/>
    <row r="11889" ht="24" customHeight="1"/>
    <row r="11890" ht="24" customHeight="1"/>
    <row r="11891" ht="35.25" customHeight="1"/>
    <row r="11892" ht="24" customHeight="1"/>
    <row r="11893" ht="15" customHeight="1"/>
    <row r="11894" ht="24" customHeight="1"/>
    <row r="11895" ht="24" customHeight="1"/>
    <row r="11896" ht="15" customHeight="1"/>
    <row r="11897" ht="15" customHeight="1"/>
    <row r="11898" ht="15" customHeight="1"/>
    <row r="11899" ht="24" customHeight="1"/>
    <row r="11900" ht="15" customHeight="1"/>
    <row r="11901" ht="15" customHeight="1"/>
    <row r="11902" ht="35.25" customHeight="1"/>
    <row r="11903" ht="15" customHeight="1"/>
    <row r="11904" ht="15" customHeight="1"/>
    <row r="11905" ht="35.25" customHeight="1"/>
    <row r="11906" ht="15" customHeight="1"/>
    <row r="11907" ht="15" customHeight="1"/>
    <row r="11908" ht="15" customHeight="1"/>
    <row r="11909" ht="24" customHeight="1"/>
    <row r="11910" ht="24" customHeight="1"/>
    <row r="11911" ht="24" customHeight="1"/>
    <row r="11912" ht="15" customHeight="1"/>
    <row r="11913" ht="24" customHeight="1"/>
    <row r="11914" ht="15" customHeight="1"/>
    <row r="11915" ht="15" customHeight="1"/>
    <row r="11916" ht="15" customHeight="1"/>
    <row r="11917" ht="15" customHeight="1"/>
    <row r="11918" ht="35.25" customHeight="1"/>
    <row r="11919" ht="24" customHeight="1"/>
    <row r="11920" ht="24" customHeight="1"/>
    <row r="11921" ht="24" customHeight="1"/>
    <row r="11922" ht="15" customHeight="1"/>
    <row r="11923" ht="15" customHeight="1"/>
    <row r="11924" ht="15" customHeight="1"/>
    <row r="11925" ht="15" customHeight="1"/>
    <row r="11926" ht="15" customHeight="1"/>
    <row r="11927" ht="15" customHeight="1"/>
    <row r="11928" ht="15" customHeight="1"/>
    <row r="11929" ht="24" customHeight="1"/>
    <row r="11930" ht="15" customHeight="1"/>
    <row r="11931" ht="15" customHeight="1"/>
    <row r="11932" ht="15" customHeight="1"/>
    <row r="11933" ht="15" customHeight="1"/>
    <row r="11934" ht="24" customHeight="1"/>
    <row r="11935" ht="15" customHeight="1"/>
    <row r="11936" ht="15" customHeight="1"/>
    <row r="11937" ht="15" customHeight="1"/>
    <row r="11938" ht="15" customHeight="1"/>
    <row r="11939" ht="15" customHeight="1"/>
    <row r="11940" ht="15" customHeight="1"/>
    <row r="11941" ht="15" customHeight="1"/>
    <row r="11942" ht="24" customHeight="1"/>
    <row r="11943" ht="24" customHeight="1"/>
    <row r="11944" ht="15" customHeight="1"/>
    <row r="11945" ht="24" customHeight="1"/>
    <row r="11946" ht="24" customHeight="1"/>
    <row r="11947" ht="15" customHeight="1"/>
    <row r="11948" ht="15" customHeight="1"/>
    <row r="11949" ht="15" customHeight="1"/>
    <row r="11950" ht="24" customHeight="1"/>
    <row r="11951" ht="15" customHeight="1"/>
    <row r="11952" ht="24" customHeight="1"/>
    <row r="11953" ht="24" customHeight="1"/>
    <row r="11954" ht="24" customHeight="1"/>
    <row r="11955" ht="24" customHeight="1"/>
    <row r="11956" ht="15" customHeight="1"/>
    <row r="11957" ht="24" customHeight="1"/>
    <row r="11958" ht="24" customHeight="1"/>
    <row r="11959" ht="24" customHeight="1"/>
    <row r="11960" ht="24" customHeight="1"/>
    <row r="11961" ht="15" customHeight="1"/>
    <row r="11962" ht="15" customHeight="1"/>
    <row r="11963" ht="15" customHeight="1"/>
    <row r="11964" ht="24" customHeight="1"/>
    <row r="11965" ht="15" customHeight="1"/>
    <row r="11966" ht="15" customHeight="1"/>
    <row r="11967" ht="15" customHeight="1"/>
    <row r="11968" ht="15" customHeight="1"/>
    <row r="11969" ht="24" customHeight="1"/>
    <row r="11970" ht="15" customHeight="1"/>
    <row r="11971" ht="15" customHeight="1"/>
    <row r="11972" ht="24" customHeight="1"/>
    <row r="11973" ht="15" customHeight="1"/>
    <row r="11974" ht="24" customHeight="1"/>
    <row r="11975" ht="15" customHeight="1"/>
    <row r="11976" ht="24" customHeight="1"/>
    <row r="11977" ht="24" customHeight="1"/>
    <row r="11978" ht="24" customHeight="1"/>
    <row r="11979" ht="24" customHeight="1"/>
    <row r="11980" ht="24" customHeight="1"/>
    <row r="11981" ht="24" customHeight="1"/>
    <row r="11982" ht="24" customHeight="1"/>
    <row r="11983" ht="24" customHeight="1"/>
    <row r="11984" ht="24" customHeight="1"/>
    <row r="11985" ht="24" customHeight="1"/>
    <row r="11986" ht="15" customHeight="1"/>
    <row r="11987" ht="24" customHeight="1"/>
    <row r="11988" ht="15" customHeight="1"/>
    <row r="11989" ht="24" customHeight="1"/>
    <row r="11990" ht="15" customHeight="1"/>
    <row r="11991" ht="24" customHeight="1"/>
    <row r="11992" ht="15" customHeight="1"/>
    <row r="11993" ht="15" customHeight="1"/>
    <row r="11994" ht="24" customHeight="1"/>
    <row r="11995" ht="15" customHeight="1"/>
    <row r="11996" ht="24" customHeight="1"/>
    <row r="11997" ht="24" customHeight="1"/>
    <row r="11998" ht="24" customHeight="1"/>
    <row r="11999" ht="24" customHeight="1"/>
    <row r="12000" ht="15" customHeight="1"/>
    <row r="12001" ht="15" customHeight="1"/>
    <row r="12002" ht="24" customHeight="1"/>
    <row r="12003" ht="24" customHeight="1"/>
    <row r="12004" ht="15" customHeight="1"/>
    <row r="12005" ht="24" customHeight="1"/>
    <row r="12006" ht="15" customHeight="1"/>
    <row r="12007" ht="24" customHeight="1"/>
    <row r="12008" ht="24" customHeight="1"/>
    <row r="12009" ht="24" customHeight="1"/>
    <row r="12010" ht="15" customHeight="1"/>
    <row r="12011" ht="24" customHeight="1"/>
    <row r="12012" ht="15" customHeight="1"/>
    <row r="12013" ht="15" customHeight="1"/>
    <row r="12014" ht="24" customHeight="1"/>
    <row r="12015" ht="24" customHeight="1"/>
    <row r="12016" ht="15" customHeight="1"/>
    <row r="12017" ht="15" customHeight="1"/>
    <row r="12018" ht="24" customHeight="1"/>
    <row r="12019" ht="24" customHeight="1"/>
    <row r="12020" ht="24" customHeight="1"/>
    <row r="12021" ht="24" customHeight="1"/>
    <row r="12022" ht="24" customHeight="1"/>
    <row r="12023" ht="24" customHeight="1"/>
    <row r="12024" ht="24" customHeight="1"/>
    <row r="12025" ht="15" customHeight="1"/>
    <row r="12026" ht="15" customHeight="1"/>
    <row r="12027" ht="15" customHeight="1"/>
    <row r="12028" ht="24" customHeight="1"/>
    <row r="12029" ht="15" customHeight="1"/>
    <row r="12030" ht="24" customHeight="1"/>
    <row r="12031" ht="24" customHeight="1"/>
    <row r="12032" ht="24" customHeight="1"/>
    <row r="12033" ht="24" customHeight="1"/>
    <row r="12034" ht="15" customHeight="1"/>
    <row r="12035" ht="24" customHeight="1"/>
    <row r="12036" ht="24" customHeight="1"/>
    <row r="12037" ht="24" customHeight="1"/>
    <row r="12038" ht="15" customHeight="1"/>
    <row r="12039" ht="15" customHeight="1"/>
    <row r="12040" ht="24" customHeight="1"/>
    <row r="12041" ht="24" customHeight="1"/>
    <row r="12042" ht="24" customHeight="1"/>
    <row r="12043" ht="15" customHeight="1"/>
    <row r="12044" ht="15" customHeight="1"/>
    <row r="12045" ht="24" customHeight="1"/>
    <row r="12046" ht="24" customHeight="1"/>
    <row r="12047" ht="15" customHeight="1"/>
    <row r="12048" ht="24" customHeight="1"/>
    <row r="12049" ht="15" customHeight="1"/>
    <row r="12050" ht="15" customHeight="1"/>
    <row r="12051" ht="15" customHeight="1"/>
    <row r="12052" ht="24" customHeight="1"/>
    <row r="12053" ht="15" customHeight="1"/>
    <row r="12054" ht="15" customHeight="1"/>
    <row r="12055" ht="15" customHeight="1"/>
    <row r="12056" ht="24" customHeight="1"/>
    <row r="12057" ht="15" customHeight="1"/>
    <row r="12058" ht="15" customHeight="1"/>
    <row r="12059" ht="15" customHeight="1"/>
    <row r="12060" ht="24" customHeight="1"/>
    <row r="12061" ht="15" customHeight="1"/>
    <row r="12062" ht="24" customHeight="1"/>
    <row r="12063" ht="24" customHeight="1"/>
    <row r="12064" ht="15" customHeight="1"/>
    <row r="12065" ht="24" customHeight="1"/>
    <row r="12066" ht="24" customHeight="1"/>
    <row r="12067" ht="24" customHeight="1"/>
    <row r="12068" ht="24" customHeight="1"/>
    <row r="12069" ht="24" customHeight="1"/>
    <row r="12070" ht="24" customHeight="1"/>
    <row r="12071" ht="24" customHeight="1"/>
    <row r="12072" ht="15" customHeight="1"/>
    <row r="12073" ht="15" customHeight="1"/>
    <row r="12074" ht="15" customHeight="1"/>
    <row r="12075" ht="24" customHeight="1"/>
    <row r="12076" ht="15" customHeight="1"/>
    <row r="12077" ht="24" customHeight="1"/>
    <row r="12078" ht="15" customHeight="1"/>
    <row r="12079" ht="15" customHeight="1"/>
    <row r="12080" ht="24" customHeight="1"/>
    <row r="12081" ht="24" customHeight="1"/>
    <row r="12082" ht="24" customHeight="1"/>
    <row r="12083" ht="15" customHeight="1"/>
    <row r="12084" ht="15" customHeight="1"/>
    <row r="12085" ht="24" customHeight="1"/>
    <row r="12086" ht="24" customHeight="1"/>
    <row r="12087" ht="15" customHeight="1"/>
    <row r="12088" ht="15" customHeight="1"/>
    <row r="12089" ht="24" customHeight="1"/>
    <row r="12090" ht="15" customHeight="1"/>
    <row r="12091" ht="24" customHeight="1"/>
    <row r="12092" ht="24" customHeight="1"/>
    <row r="12093" ht="15" customHeight="1"/>
    <row r="12094" ht="15" customHeight="1"/>
    <row r="12095" ht="24" customHeight="1"/>
    <row r="12096" ht="24" customHeight="1"/>
    <row r="12097" ht="15" customHeight="1"/>
    <row r="12098" ht="15" customHeight="1"/>
    <row r="12099" ht="15" customHeight="1"/>
    <row r="12100" ht="15" customHeight="1"/>
    <row r="12101" ht="15" customHeight="1"/>
    <row r="12102" ht="24" customHeight="1"/>
    <row r="12103" ht="15" customHeight="1"/>
    <row r="12104" ht="15" customHeight="1"/>
    <row r="12105" ht="15" customHeight="1"/>
    <row r="12106" ht="15" customHeight="1"/>
    <row r="12107" ht="35.25" customHeight="1"/>
    <row r="12108" ht="24" customHeight="1"/>
    <row r="12109" ht="15" customHeight="1"/>
    <row r="12110" ht="24" customHeight="1"/>
    <row r="12111" ht="24" customHeight="1"/>
    <row r="12112" ht="15" customHeight="1"/>
    <row r="12113" ht="24" customHeight="1"/>
    <row r="12114" ht="15" customHeight="1"/>
    <row r="12115" ht="15" customHeight="1"/>
    <row r="12116" ht="15" customHeight="1"/>
    <row r="12117" ht="15" customHeight="1"/>
    <row r="12118" ht="24" customHeight="1"/>
    <row r="12119" ht="15" customHeight="1"/>
    <row r="12120" ht="15" customHeight="1"/>
    <row r="12121" ht="24" customHeight="1"/>
    <row r="12122" ht="15" customHeight="1"/>
    <row r="12123" ht="15" customHeight="1"/>
    <row r="12124" ht="15" customHeight="1"/>
    <row r="12125" ht="15" customHeight="1"/>
    <row r="12126" ht="24" customHeight="1"/>
    <row r="12127" ht="24" customHeight="1"/>
    <row r="12128" ht="15" customHeight="1"/>
    <row r="12129" ht="15" customHeight="1"/>
    <row r="12130" ht="24" customHeight="1"/>
    <row r="12131" ht="15" customHeight="1"/>
    <row r="12132" ht="15" customHeight="1"/>
    <row r="12133" ht="15" customHeight="1"/>
    <row r="12134" ht="15" customHeight="1"/>
    <row r="12135" ht="24" customHeight="1"/>
    <row r="12136" ht="15" customHeight="1"/>
    <row r="12137" ht="15" customHeight="1"/>
    <row r="12138" ht="15" customHeight="1"/>
    <row r="12139" ht="24" customHeight="1"/>
    <row r="12140" ht="24" customHeight="1"/>
    <row r="12141" ht="15" customHeight="1"/>
    <row r="12142" ht="15" customHeight="1"/>
    <row r="12143" ht="15" customHeight="1"/>
    <row r="12144" ht="15" customHeight="1"/>
    <row r="12145" ht="15" customHeight="1"/>
    <row r="12146" ht="15" customHeight="1"/>
    <row r="12147" ht="15" customHeight="1"/>
    <row r="12148" ht="15" customHeight="1"/>
    <row r="12149" ht="15" customHeight="1"/>
    <row r="12150" ht="15" customHeight="1"/>
    <row r="12151" ht="15" customHeight="1"/>
    <row r="12152" ht="15" customHeight="1"/>
    <row r="12153" ht="15" customHeight="1"/>
    <row r="12154" ht="15" customHeight="1"/>
    <row r="12155" ht="15" customHeight="1"/>
    <row r="12156" ht="15" customHeight="1"/>
    <row r="12157" ht="15" customHeight="1"/>
    <row r="12158" ht="15" customHeight="1"/>
    <row r="12159" ht="15" customHeight="1"/>
    <row r="12160" ht="24" customHeight="1"/>
    <row r="12161" ht="15" customHeight="1"/>
    <row r="12162" ht="15" customHeight="1"/>
    <row r="12163" ht="24" customHeight="1"/>
    <row r="12164" ht="15" customHeight="1"/>
    <row r="12165" ht="15" customHeight="1"/>
    <row r="12166" ht="15" customHeight="1"/>
    <row r="12167" ht="15" customHeight="1"/>
    <row r="12168" ht="15" customHeight="1"/>
    <row r="12169" ht="15" customHeight="1"/>
    <row r="12170" ht="15" customHeight="1"/>
    <row r="12171" ht="15" customHeight="1"/>
    <row r="12172" ht="15" customHeight="1"/>
    <row r="12173" ht="15" customHeight="1"/>
    <row r="12174" ht="15" customHeight="1"/>
    <row r="12175" ht="15" customHeight="1"/>
    <row r="12176" ht="15" customHeight="1"/>
    <row r="12177" ht="15" customHeight="1"/>
    <row r="12178" ht="15" customHeight="1"/>
    <row r="12179" ht="15" customHeight="1"/>
    <row r="12180" ht="15" customHeight="1"/>
    <row r="12181" ht="15" customHeight="1"/>
    <row r="12182" ht="15" customHeight="1"/>
    <row r="12183" ht="15" customHeight="1"/>
    <row r="12184" ht="15" customHeight="1"/>
    <row r="12185" ht="15" customHeight="1"/>
    <row r="12186" ht="15" customHeight="1"/>
    <row r="12187" ht="15" customHeight="1"/>
    <row r="12188" ht="15" customHeight="1"/>
    <row r="12189" ht="15" customHeight="1"/>
    <row r="12190" ht="15" customHeight="1"/>
    <row r="12191" ht="15" customHeight="1"/>
    <row r="12192" ht="15" customHeight="1"/>
    <row r="12193" ht="15" customHeight="1"/>
    <row r="12194" ht="15" customHeight="1"/>
    <row r="12195" ht="15" customHeight="1"/>
    <row r="12196" ht="15" customHeight="1"/>
    <row r="12197" ht="15" customHeight="1"/>
    <row r="12198" ht="15" customHeight="1"/>
    <row r="12199" ht="15" customHeight="1"/>
    <row r="12200" ht="15" customHeight="1"/>
    <row r="12201" ht="15" customHeight="1"/>
    <row r="12202" ht="15" customHeight="1"/>
    <row r="12203" ht="15" customHeight="1"/>
    <row r="12204" ht="15" customHeight="1"/>
    <row r="12205" ht="15" customHeight="1"/>
    <row r="12206" ht="15" customHeight="1"/>
    <row r="12207" ht="15" customHeight="1"/>
    <row r="12208" ht="15" customHeight="1"/>
    <row r="12209" ht="15" customHeight="1"/>
    <row r="12210" ht="15" customHeight="1"/>
    <row r="12211" ht="15" customHeight="1"/>
    <row r="12212" ht="15" customHeight="1"/>
    <row r="12213" ht="15" customHeight="1"/>
    <row r="12214" ht="15" customHeight="1"/>
    <row r="12215" ht="15" customHeight="1"/>
    <row r="12216" ht="15" customHeight="1"/>
    <row r="12217" ht="15" customHeight="1"/>
    <row r="12218" ht="15" customHeight="1"/>
    <row r="12219" ht="15" customHeight="1"/>
    <row r="12220" ht="15" customHeight="1"/>
    <row r="12221" ht="15" customHeight="1"/>
    <row r="12222" ht="15" customHeight="1"/>
    <row r="12223" ht="15" customHeight="1"/>
    <row r="12224" ht="15" customHeight="1"/>
    <row r="12225" ht="15" customHeight="1"/>
    <row r="12226" ht="15" customHeight="1"/>
    <row r="12227" ht="15" customHeight="1"/>
    <row r="12228" ht="15" customHeight="1"/>
    <row r="12229" ht="15" customHeight="1"/>
    <row r="12230" ht="15" customHeight="1"/>
    <row r="12231" ht="15" customHeight="1"/>
    <row r="12232" ht="15" customHeight="1"/>
    <row r="12233" ht="15" customHeight="1"/>
    <row r="12234" ht="46.5" customHeight="1"/>
    <row r="12235" ht="15" customHeight="1"/>
    <row r="12236" ht="15" customHeight="1"/>
    <row r="12237" ht="15" customHeight="1"/>
    <row r="12238" ht="15" customHeight="1"/>
    <row r="12239" ht="15" customHeight="1"/>
    <row r="12240" ht="15" customHeight="1"/>
    <row r="12241" ht="15" customHeight="1"/>
    <row r="12242" ht="15" customHeight="1"/>
    <row r="12243" ht="15" customHeight="1"/>
    <row r="12244" ht="15" customHeight="1"/>
    <row r="12245" ht="15" customHeight="1"/>
    <row r="12246" ht="15" customHeight="1"/>
    <row r="12247" ht="15" customHeight="1"/>
    <row r="12248" ht="15" customHeight="1"/>
    <row r="12249" ht="15" customHeight="1"/>
    <row r="12250" ht="15" customHeight="1"/>
    <row r="12251" ht="15" customHeight="1"/>
    <row r="12252" ht="15" customHeight="1"/>
    <row r="12253" ht="15" customHeight="1"/>
    <row r="12254" ht="15" customHeight="1"/>
    <row r="12255" ht="15" customHeight="1"/>
    <row r="12256" ht="15" customHeight="1"/>
    <row r="12257" ht="15" customHeight="1"/>
    <row r="12258" ht="15" customHeight="1"/>
    <row r="12259" ht="15" customHeight="1"/>
    <row r="12260" ht="15" customHeight="1"/>
    <row r="12261" ht="15" customHeight="1"/>
    <row r="12262" ht="15" customHeight="1"/>
    <row r="12263" ht="15" customHeight="1"/>
    <row r="12264" ht="15" customHeight="1"/>
    <row r="12265" ht="15" customHeight="1"/>
    <row r="12266" ht="15" customHeight="1"/>
    <row r="12267" ht="15" customHeight="1"/>
    <row r="12268" ht="15" customHeight="1"/>
    <row r="12269" ht="15" customHeight="1"/>
    <row r="12270" ht="15" customHeight="1"/>
    <row r="12271" ht="15" customHeight="1"/>
    <row r="12272" ht="15" customHeight="1"/>
    <row r="12273" ht="15" customHeight="1"/>
    <row r="12274" ht="15" customHeight="1"/>
    <row r="12275" ht="15" customHeight="1"/>
    <row r="12276" ht="15" customHeight="1"/>
    <row r="12277" ht="15" customHeight="1"/>
    <row r="12278" ht="15" customHeight="1"/>
    <row r="12279" ht="15" customHeight="1"/>
    <row r="12280" ht="15" customHeight="1"/>
    <row r="12281" ht="15" customHeight="1"/>
    <row r="12282" ht="15" customHeight="1"/>
    <row r="12283" ht="15" customHeight="1"/>
    <row r="12284" ht="15" customHeight="1"/>
    <row r="12285" ht="15" customHeight="1"/>
    <row r="12286" ht="15" customHeight="1"/>
    <row r="12287" ht="15" customHeight="1"/>
    <row r="12288" ht="15" customHeight="1"/>
    <row r="12289" ht="15" customHeight="1"/>
    <row r="12290" ht="15" customHeight="1"/>
    <row r="12291" ht="15" customHeight="1"/>
    <row r="12292" ht="15" customHeight="1"/>
    <row r="12293" ht="15" customHeight="1"/>
    <row r="12294" ht="15" customHeight="1"/>
    <row r="12295" ht="15" customHeight="1"/>
    <row r="12296" ht="15" customHeight="1"/>
    <row r="12297" ht="15" customHeight="1"/>
    <row r="12298" ht="15" customHeight="1"/>
    <row r="12299" ht="15" customHeight="1"/>
    <row r="12300" ht="15" customHeight="1"/>
    <row r="12301" ht="15" customHeight="1"/>
    <row r="12302" ht="15" customHeight="1"/>
    <row r="12303" ht="15" customHeight="1"/>
    <row r="12304" ht="15" customHeight="1"/>
    <row r="12305" ht="15" customHeight="1"/>
    <row r="12306" ht="15" customHeight="1"/>
    <row r="12307" ht="15" customHeight="1"/>
    <row r="12308" ht="15" customHeight="1"/>
    <row r="12309" ht="15" customHeight="1"/>
    <row r="12310" ht="15" customHeight="1"/>
    <row r="12311" ht="15" customHeight="1"/>
    <row r="12312" ht="15" customHeight="1"/>
    <row r="12313" ht="15" customHeight="1"/>
    <row r="12314" ht="15" customHeight="1"/>
    <row r="12315" ht="15" customHeight="1"/>
    <row r="12316" ht="15" customHeight="1"/>
    <row r="12317" ht="15" customHeight="1"/>
    <row r="12318" ht="15" customHeight="1"/>
    <row r="12319" ht="15" customHeight="1"/>
    <row r="12320" ht="15" customHeight="1"/>
    <row r="12321" ht="15" customHeight="1"/>
    <row r="12322" ht="15" customHeight="1"/>
    <row r="12323" ht="15" customHeight="1"/>
    <row r="12324" ht="15" customHeight="1"/>
    <row r="12325" ht="15" customHeight="1"/>
    <row r="12326" ht="15" customHeight="1"/>
    <row r="12327" ht="15" customHeight="1"/>
    <row r="12328" ht="15" customHeight="1"/>
    <row r="12329" ht="15" customHeight="1"/>
    <row r="12330" ht="15" customHeight="1"/>
    <row r="12331" ht="15" customHeight="1"/>
    <row r="12332" ht="15" customHeight="1"/>
    <row r="12333" ht="15" customHeight="1"/>
    <row r="12334" ht="15" customHeight="1"/>
    <row r="12335" ht="15" customHeight="1"/>
    <row r="12336" ht="15" customHeight="1"/>
    <row r="12337" ht="15" customHeight="1"/>
    <row r="12338" ht="15" customHeight="1"/>
    <row r="12339" ht="15" customHeight="1"/>
    <row r="12340" ht="15" customHeight="1"/>
    <row r="12341" ht="15" customHeight="1"/>
    <row r="12342" ht="15" customHeight="1"/>
    <row r="12343" ht="15" customHeight="1"/>
    <row r="12344" ht="15" customHeight="1"/>
    <row r="12345" ht="15" customHeight="1"/>
    <row r="12346" ht="15" customHeight="1"/>
    <row r="12347" ht="15" customHeight="1"/>
    <row r="12348" ht="15" customHeight="1"/>
    <row r="12349" ht="15" customHeight="1"/>
    <row r="12350" ht="15" customHeight="1"/>
    <row r="12351" ht="15" customHeight="1"/>
    <row r="12352" ht="15" customHeight="1"/>
    <row r="12353" ht="15" customHeight="1"/>
    <row r="12354" ht="15" customHeight="1"/>
    <row r="12355" ht="15" customHeight="1"/>
    <row r="12356" ht="15" customHeight="1"/>
    <row r="12357" ht="15" customHeight="1"/>
    <row r="12358" ht="15" customHeight="1"/>
    <row r="12359" ht="15" customHeight="1"/>
    <row r="12360" ht="15" customHeight="1"/>
    <row r="12361" ht="15" customHeight="1"/>
    <row r="12362" ht="15" customHeight="1"/>
    <row r="12363" ht="15" customHeight="1"/>
    <row r="12364" ht="15" customHeight="1"/>
    <row r="12365" ht="15" customHeight="1"/>
    <row r="12366" ht="15" customHeight="1"/>
    <row r="12367" ht="15" customHeight="1"/>
    <row r="12368" ht="15" customHeight="1"/>
    <row r="12369" ht="15" customHeight="1"/>
    <row r="12370" ht="15" customHeight="1"/>
    <row r="12371" ht="15" customHeight="1"/>
    <row r="12372" ht="15" customHeight="1"/>
    <row r="12373" ht="15" customHeight="1"/>
    <row r="12374" ht="15" customHeight="1"/>
    <row r="12375" ht="15" customHeight="1"/>
    <row r="12376" ht="15" customHeight="1"/>
    <row r="12377" ht="15" customHeight="1"/>
    <row r="12378" ht="15" customHeight="1"/>
    <row r="12379" ht="15" customHeight="1"/>
    <row r="12380" ht="15" customHeight="1"/>
    <row r="12381" ht="15" customHeight="1"/>
    <row r="12382" ht="15" customHeight="1"/>
    <row r="12383" ht="15" customHeight="1"/>
    <row r="12384" ht="15" customHeight="1"/>
    <row r="12385" ht="15" customHeight="1"/>
    <row r="12386" ht="15" customHeight="1"/>
    <row r="12387" ht="15" customHeight="1"/>
    <row r="12388" ht="15" customHeight="1"/>
    <row r="12389" ht="15" customHeight="1"/>
    <row r="12390" ht="15" customHeight="1"/>
    <row r="12391" ht="15" customHeight="1"/>
    <row r="12392" ht="15" customHeight="1"/>
    <row r="12393" ht="15" customHeight="1"/>
    <row r="12394" ht="15" customHeight="1"/>
    <row r="12395" ht="15" customHeight="1"/>
    <row r="12396" ht="15" customHeight="1"/>
    <row r="12397" ht="15" customHeight="1"/>
    <row r="12398" ht="15" customHeight="1"/>
    <row r="12399" ht="15" customHeight="1"/>
    <row r="12400" ht="15" customHeight="1"/>
    <row r="12401" ht="15" customHeight="1"/>
    <row r="12402" ht="15" customHeight="1"/>
    <row r="12403" ht="15" customHeight="1"/>
    <row r="12404" ht="15" customHeight="1"/>
    <row r="12405" ht="15" customHeight="1"/>
    <row r="12406" ht="15" customHeight="1"/>
    <row r="12407" ht="15" customHeight="1"/>
    <row r="12408" ht="15" customHeight="1"/>
    <row r="12409" ht="15" customHeight="1"/>
    <row r="12410" ht="15" customHeight="1"/>
    <row r="12411" ht="15" customHeight="1"/>
    <row r="12412" ht="15" customHeight="1"/>
    <row r="12413" ht="15" customHeight="1"/>
    <row r="12414" ht="15" customHeight="1"/>
    <row r="12415" ht="15" customHeight="1"/>
    <row r="12416" ht="15" customHeight="1"/>
    <row r="12417" ht="15" customHeight="1"/>
    <row r="12418" ht="15" customHeight="1"/>
    <row r="12419" ht="15" customHeight="1"/>
    <row r="12420" ht="15" customHeight="1"/>
    <row r="12421" ht="15" customHeight="1"/>
    <row r="12422" ht="15" customHeight="1"/>
    <row r="12423" ht="15" customHeight="1"/>
    <row r="12424" ht="15" customHeight="1"/>
    <row r="12425" ht="15" customHeight="1"/>
    <row r="12426" ht="15" customHeight="1"/>
    <row r="12427" ht="15" customHeight="1"/>
    <row r="12428" ht="15" customHeight="1"/>
    <row r="12429" ht="15" customHeight="1"/>
    <row r="12430" ht="15" customHeight="1"/>
    <row r="12431" ht="15" customHeight="1"/>
    <row r="12432" ht="15" customHeight="1"/>
    <row r="12433" ht="15" customHeight="1"/>
    <row r="12434" ht="15" customHeight="1"/>
    <row r="12435" ht="15" customHeight="1"/>
    <row r="12436" ht="15" customHeight="1"/>
    <row r="12437" ht="15" customHeight="1"/>
    <row r="12438" ht="15" customHeight="1"/>
    <row r="12439" ht="15" customHeight="1"/>
    <row r="12440" ht="15" customHeight="1"/>
    <row r="12441" ht="15" customHeight="1"/>
    <row r="12442" ht="15" customHeight="1"/>
    <row r="12443" ht="15" customHeight="1"/>
    <row r="12444" ht="15" customHeight="1"/>
    <row r="12445" ht="15" customHeight="1"/>
    <row r="12446" ht="15" customHeight="1"/>
    <row r="12447" ht="15" customHeight="1"/>
    <row r="12448" ht="15" customHeight="1"/>
    <row r="12449" ht="15" customHeight="1"/>
    <row r="12450" ht="15" customHeight="1"/>
    <row r="12451" ht="15" customHeight="1"/>
    <row r="12452" ht="15" customHeight="1"/>
    <row r="12453" ht="15" customHeight="1"/>
    <row r="12454" ht="15" customHeight="1"/>
    <row r="12455" ht="15" customHeight="1"/>
    <row r="12456" ht="15" customHeight="1"/>
    <row r="12457" ht="15" customHeight="1"/>
    <row r="12458" ht="15" customHeight="1"/>
    <row r="12459" ht="15" customHeight="1"/>
    <row r="12460" ht="15" customHeight="1"/>
    <row r="12461" ht="15" customHeight="1"/>
    <row r="12462" ht="15" customHeight="1"/>
    <row r="12463" ht="15" customHeight="1"/>
    <row r="12464" ht="15" customHeight="1"/>
    <row r="12465" ht="15" customHeight="1"/>
    <row r="12466" ht="15" customHeight="1"/>
    <row r="12467" ht="15" customHeight="1"/>
    <row r="12468" ht="15" customHeight="1"/>
    <row r="12469" ht="15" customHeight="1"/>
    <row r="12470" ht="15" customHeight="1"/>
    <row r="12471" ht="15" customHeight="1"/>
    <row r="12472" ht="15" customHeight="1"/>
    <row r="12473" ht="15" customHeight="1"/>
    <row r="12474" ht="15" customHeight="1"/>
    <row r="12475" ht="15" customHeight="1"/>
    <row r="12476" ht="15" customHeight="1"/>
    <row r="12477" ht="15" customHeight="1"/>
    <row r="12478" ht="15" customHeight="1"/>
    <row r="12479" ht="15" customHeight="1"/>
    <row r="12480" ht="15" customHeight="1"/>
    <row r="12481" ht="15" customHeight="1"/>
    <row r="12482" ht="15" customHeight="1"/>
    <row r="12483" ht="15" customHeight="1"/>
    <row r="12484" ht="15" customHeight="1"/>
    <row r="12485" ht="15" customHeight="1"/>
    <row r="12486" ht="15" customHeight="1"/>
    <row r="12487" ht="15" customHeight="1"/>
    <row r="12488" ht="15" customHeight="1"/>
    <row r="12489" ht="15" customHeight="1"/>
    <row r="12490" ht="15" customHeight="1"/>
    <row r="12491" ht="15" customHeight="1"/>
    <row r="12492" ht="15" customHeight="1"/>
    <row r="12493" ht="15" customHeight="1"/>
    <row r="12494" ht="15" customHeight="1"/>
    <row r="12495" ht="15" customHeight="1"/>
    <row r="12496" ht="15" customHeight="1"/>
    <row r="12497" ht="15" customHeight="1"/>
    <row r="12498" ht="15" customHeight="1"/>
    <row r="12499" ht="15" customHeight="1"/>
    <row r="12500" ht="15" customHeight="1"/>
    <row r="12501" ht="15" customHeight="1"/>
    <row r="12502" ht="15" customHeight="1"/>
    <row r="12503" ht="15" customHeight="1"/>
    <row r="12504" ht="15" customHeight="1"/>
    <row r="12505" ht="15" customHeight="1"/>
    <row r="12506" ht="15" customHeight="1"/>
    <row r="12507" ht="15" customHeight="1"/>
    <row r="12508" ht="15" customHeight="1"/>
    <row r="12509" ht="15" customHeight="1"/>
    <row r="12510" ht="15" customHeight="1"/>
    <row r="12511" ht="15" customHeight="1"/>
    <row r="12512" ht="15" customHeight="1"/>
    <row r="12513" ht="15" customHeight="1"/>
    <row r="12514" ht="15" customHeight="1"/>
    <row r="12515" ht="15" customHeight="1"/>
    <row r="12516" ht="15" customHeight="1"/>
    <row r="12517" ht="15" customHeight="1"/>
    <row r="12518" ht="15" customHeight="1"/>
    <row r="12519" ht="15" customHeight="1"/>
    <row r="12520" ht="15" customHeight="1"/>
    <row r="12521" ht="15" customHeight="1"/>
    <row r="12522" ht="15" customHeight="1"/>
    <row r="12523" ht="15" customHeight="1"/>
    <row r="12524" ht="15" customHeight="1"/>
    <row r="12525" ht="15" customHeight="1"/>
    <row r="12526" ht="15" customHeight="1"/>
    <row r="12527" ht="15" customHeight="1"/>
    <row r="12528" ht="15" customHeight="1"/>
    <row r="12529" ht="15" customHeight="1"/>
    <row r="12530" ht="15" customHeight="1"/>
    <row r="12531" ht="15" customHeight="1"/>
    <row r="12532" ht="15" customHeight="1"/>
    <row r="12533" ht="15" customHeight="1"/>
    <row r="12534" ht="15" customHeight="1"/>
    <row r="12535" ht="15" customHeight="1"/>
    <row r="12536" ht="15" customHeight="1"/>
    <row r="12537" ht="15" customHeight="1"/>
    <row r="12538" ht="15" customHeight="1"/>
    <row r="12539" ht="15" customHeight="1"/>
    <row r="12540" ht="15" customHeight="1"/>
    <row r="12541" ht="15" customHeight="1"/>
    <row r="12542" ht="15" customHeight="1"/>
    <row r="12543" ht="15" customHeight="1"/>
    <row r="12544" ht="15" customHeight="1"/>
    <row r="12545" ht="15" customHeight="1"/>
    <row r="12546" ht="15" customHeight="1"/>
    <row r="12547" ht="15" customHeight="1"/>
    <row r="12548" ht="15" customHeight="1"/>
    <row r="12549" ht="15" customHeight="1"/>
    <row r="12550" ht="15" customHeight="1"/>
    <row r="12551" ht="15" customHeight="1"/>
    <row r="12552" ht="15" customHeight="1"/>
    <row r="12553" ht="15" customHeight="1"/>
    <row r="12554" ht="15" customHeight="1"/>
    <row r="12555" ht="15" customHeight="1"/>
    <row r="12556" ht="15" customHeight="1"/>
    <row r="12557" ht="15" customHeight="1"/>
    <row r="12558" ht="15" customHeight="1"/>
    <row r="12559" ht="15" customHeight="1"/>
    <row r="12560" ht="15" customHeight="1"/>
    <row r="12561" ht="15" customHeight="1"/>
    <row r="12562" ht="15" customHeight="1"/>
    <row r="12563" ht="15" customHeight="1"/>
    <row r="12564" ht="15" customHeight="1"/>
    <row r="12565" ht="15" customHeight="1"/>
    <row r="12566" ht="15" customHeight="1"/>
    <row r="12567" ht="15" customHeight="1"/>
    <row r="12568" ht="15" customHeight="1"/>
    <row r="12569" ht="15" customHeight="1"/>
    <row r="12570" ht="15" customHeight="1"/>
    <row r="12571" ht="15" customHeight="1"/>
    <row r="12572" ht="15" customHeight="1"/>
    <row r="12573" ht="15" customHeight="1"/>
    <row r="12574" ht="15" customHeight="1"/>
    <row r="12575" ht="15" customHeight="1"/>
    <row r="12576" ht="15" customHeight="1"/>
    <row r="12577" ht="15" customHeight="1"/>
    <row r="12578" ht="15" customHeight="1"/>
    <row r="12579" ht="15" customHeight="1"/>
    <row r="12580" ht="15" customHeight="1"/>
    <row r="12581" ht="15" customHeight="1"/>
    <row r="12582" ht="15" customHeight="1"/>
    <row r="12583" ht="15" customHeight="1"/>
    <row r="12584" ht="15" customHeight="1"/>
    <row r="12585" ht="15" customHeight="1"/>
    <row r="12586" ht="15" customHeight="1"/>
    <row r="12587" ht="15" customHeight="1"/>
    <row r="12588" ht="15" customHeight="1"/>
    <row r="12589" ht="15" customHeight="1"/>
    <row r="12590" ht="15" customHeight="1"/>
    <row r="12591" ht="15" customHeight="1"/>
    <row r="12592" ht="15" customHeight="1"/>
    <row r="12593" ht="15" customHeight="1"/>
    <row r="12594" ht="15" customHeight="1"/>
    <row r="12595" ht="15" customHeight="1"/>
    <row r="12596" ht="15" customHeight="1"/>
    <row r="12597" ht="15" customHeight="1"/>
    <row r="12598" ht="15" customHeight="1"/>
    <row r="12599" ht="15" customHeight="1"/>
    <row r="12600" ht="15" customHeight="1"/>
    <row r="12601" ht="15" customHeight="1"/>
    <row r="12602" ht="15" customHeight="1"/>
    <row r="12603" ht="15" customHeight="1"/>
    <row r="12604" ht="15" customHeight="1"/>
    <row r="12605" ht="15" customHeight="1"/>
    <row r="12606" ht="15" customHeight="1"/>
    <row r="12607" ht="15" customHeight="1"/>
    <row r="12608" ht="15" customHeight="1"/>
    <row r="12609" ht="15" customHeight="1"/>
    <row r="12610" ht="15" customHeight="1"/>
    <row r="12611" ht="15" customHeight="1"/>
    <row r="12612" ht="15" customHeight="1"/>
    <row r="12613" ht="15" customHeight="1"/>
    <row r="12614" ht="15" customHeight="1"/>
    <row r="12615" ht="15" customHeight="1"/>
    <row r="12616" ht="15" customHeight="1"/>
    <row r="12617" ht="15" customHeight="1"/>
    <row r="12618" ht="15" customHeight="1"/>
    <row r="12619" ht="15" customHeight="1"/>
    <row r="12620" ht="15" customHeight="1"/>
    <row r="12621" ht="15" customHeight="1"/>
    <row r="12622" ht="15" customHeight="1"/>
    <row r="12623" ht="15" customHeight="1"/>
    <row r="12624" ht="15" customHeight="1"/>
    <row r="12625" ht="15" customHeight="1"/>
    <row r="12626" ht="15" customHeight="1"/>
    <row r="12627" ht="15" customHeight="1"/>
    <row r="12628" ht="15" customHeight="1"/>
    <row r="12629" ht="15" customHeight="1"/>
    <row r="12630" ht="15" customHeight="1"/>
    <row r="12631" ht="15" customHeight="1"/>
    <row r="12632" ht="15" customHeight="1"/>
    <row r="12633" ht="15" customHeight="1"/>
    <row r="12634" ht="15" customHeight="1"/>
    <row r="12635" ht="15" customHeight="1"/>
    <row r="12636" ht="15" customHeight="1"/>
    <row r="12637" ht="15" customHeight="1"/>
    <row r="12638" ht="15" customHeight="1"/>
    <row r="12639" ht="15" customHeight="1"/>
    <row r="12640" ht="15" customHeight="1"/>
    <row r="12641" ht="15" customHeight="1"/>
    <row r="12642" ht="15" customHeight="1"/>
    <row r="12643" ht="15" customHeight="1"/>
    <row r="12644" ht="15" customHeight="1"/>
    <row r="12645" ht="15" customHeight="1"/>
    <row r="12646" ht="15" customHeight="1"/>
    <row r="12647" ht="15" customHeight="1"/>
    <row r="12648" ht="15" customHeight="1"/>
    <row r="12649" ht="15" customHeight="1"/>
    <row r="12650" ht="15" customHeight="1"/>
    <row r="12651" ht="15" customHeight="1"/>
    <row r="12652" ht="15" customHeight="1"/>
    <row r="12653" ht="15" customHeight="1"/>
    <row r="12654" ht="15" customHeight="1"/>
    <row r="12655" ht="15" customHeight="1"/>
    <row r="12656" ht="15" customHeight="1"/>
    <row r="12657" ht="15" customHeight="1"/>
    <row r="12658" ht="15" customHeight="1"/>
    <row r="12659" ht="15" customHeight="1"/>
    <row r="12660" ht="15" customHeight="1"/>
    <row r="12661" ht="15" customHeight="1"/>
    <row r="12662" ht="15" customHeight="1"/>
    <row r="12663" ht="15" customHeight="1"/>
    <row r="12664" ht="15" customHeight="1"/>
    <row r="12665" ht="15" customHeight="1"/>
    <row r="12666" ht="15" customHeight="1"/>
    <row r="12667" ht="15" customHeight="1"/>
    <row r="12668" ht="15" customHeight="1"/>
    <row r="12669" ht="15" customHeight="1"/>
    <row r="12670" ht="15" customHeight="1"/>
    <row r="12671" ht="15" customHeight="1"/>
    <row r="12672" ht="15" customHeight="1"/>
    <row r="12673" ht="15" customHeight="1"/>
    <row r="12674" ht="15" customHeight="1"/>
    <row r="12675" ht="15" customHeight="1"/>
    <row r="12676" ht="15" customHeight="1"/>
    <row r="12677" ht="15" customHeight="1"/>
    <row r="12678" ht="15" customHeight="1"/>
    <row r="12679" ht="15" customHeight="1"/>
    <row r="12680" ht="15" customHeight="1"/>
    <row r="12681" ht="15" customHeight="1"/>
    <row r="12682" ht="15" customHeight="1"/>
    <row r="12683" ht="15" customHeight="1"/>
    <row r="12684" ht="15" customHeight="1"/>
    <row r="12685" ht="15" customHeight="1"/>
    <row r="12686" ht="15" customHeight="1"/>
    <row r="12687" ht="15" customHeight="1"/>
    <row r="12688" ht="15" customHeight="1"/>
    <row r="12689" ht="15" customHeight="1"/>
    <row r="12690" ht="15" customHeight="1"/>
    <row r="12691" ht="15" customHeight="1"/>
    <row r="12692" ht="15" customHeight="1"/>
    <row r="12693" ht="15" customHeight="1"/>
    <row r="12694" ht="15" customHeight="1"/>
    <row r="12695" ht="15" customHeight="1"/>
    <row r="12696" ht="15" customHeight="1"/>
    <row r="12697" ht="15" customHeight="1"/>
    <row r="12698" ht="15" customHeight="1"/>
    <row r="12699" ht="15" customHeight="1"/>
    <row r="12700" ht="15" customHeight="1"/>
    <row r="12701" ht="15" customHeight="1"/>
    <row r="12702" ht="15" customHeight="1"/>
    <row r="12703" ht="15" customHeight="1"/>
    <row r="12704" ht="15" customHeight="1"/>
    <row r="12705" ht="15" customHeight="1"/>
    <row r="12706" ht="15" customHeight="1"/>
    <row r="12707" ht="15" customHeight="1"/>
    <row r="12708" ht="15" customHeight="1"/>
    <row r="12709" ht="15" customHeight="1"/>
    <row r="12710" ht="15" customHeight="1"/>
    <row r="12711" ht="15" customHeight="1"/>
    <row r="12712" ht="15" customHeight="1"/>
    <row r="12713" ht="15" customHeight="1"/>
    <row r="12714" ht="15" customHeight="1"/>
    <row r="12715" ht="15" customHeight="1"/>
    <row r="12716" ht="35.25" customHeight="1"/>
    <row r="12717" ht="15" customHeight="1"/>
    <row r="12718" ht="15" customHeight="1"/>
    <row r="12719" ht="15" customHeight="1"/>
    <row r="12720" ht="15" customHeight="1"/>
    <row r="12721" ht="15" customHeight="1"/>
    <row r="12722" ht="15" customHeight="1"/>
    <row r="12723" ht="15" customHeight="1"/>
    <row r="12724" ht="15" customHeight="1"/>
    <row r="12725" ht="15" customHeight="1"/>
    <row r="12726" ht="15" customHeight="1"/>
    <row r="12727" ht="15" customHeight="1"/>
    <row r="12728" ht="15" customHeight="1"/>
    <row r="12729" ht="15" customHeight="1"/>
    <row r="12730" ht="15" customHeight="1"/>
    <row r="12731" ht="15" customHeight="1"/>
    <row r="12732" ht="15" customHeight="1"/>
    <row r="12733" ht="15" customHeight="1"/>
    <row r="12734" ht="15" customHeight="1"/>
    <row r="12735" ht="15" customHeight="1"/>
    <row r="12736" ht="15" customHeight="1"/>
    <row r="12737" ht="15" customHeight="1"/>
    <row r="12738" ht="15" customHeight="1"/>
    <row r="12739" ht="15" customHeight="1"/>
    <row r="12740" ht="15" customHeight="1"/>
    <row r="12741" ht="15" customHeight="1"/>
    <row r="12742" ht="15" customHeight="1"/>
    <row r="12743" ht="15" customHeight="1"/>
    <row r="12744" ht="15" customHeight="1"/>
    <row r="12745" ht="15" customHeight="1"/>
    <row r="12746" ht="15" customHeight="1"/>
    <row r="12747" ht="15" customHeight="1"/>
    <row r="12748" ht="15" customHeight="1"/>
    <row r="12749" ht="15" customHeight="1"/>
    <row r="12750" ht="15" customHeight="1"/>
    <row r="12751" ht="15" customHeight="1"/>
    <row r="12752" ht="15" customHeight="1"/>
    <row r="12753" ht="15" customHeight="1"/>
    <row r="12754" ht="15" customHeight="1"/>
    <row r="12755" ht="15" customHeight="1"/>
    <row r="12756" ht="15" customHeight="1"/>
    <row r="12757" ht="15" customHeight="1"/>
    <row r="12758" ht="15" customHeight="1"/>
    <row r="12759" ht="15" customHeight="1"/>
    <row r="12760" ht="15" customHeight="1"/>
    <row r="12761" ht="15" customHeight="1"/>
    <row r="12762" ht="15" customHeight="1"/>
    <row r="12763" ht="15" customHeight="1"/>
    <row r="12764" ht="15" customHeight="1"/>
    <row r="12765" ht="15" customHeight="1"/>
    <row r="12766" ht="15" customHeight="1"/>
    <row r="12767" ht="15" customHeight="1"/>
    <row r="12768" ht="15" customHeight="1"/>
    <row r="12769" ht="15" customHeight="1"/>
    <row r="12770" ht="15" customHeight="1"/>
    <row r="12771" ht="15" customHeight="1"/>
    <row r="12772" ht="15" customHeight="1"/>
    <row r="12773" ht="15" customHeight="1"/>
    <row r="12774" ht="15" customHeight="1"/>
    <row r="12775" ht="15" customHeight="1"/>
    <row r="12776" ht="15" customHeight="1"/>
    <row r="12777" ht="15" customHeight="1"/>
    <row r="12778" ht="15" customHeight="1"/>
    <row r="12779" ht="15" customHeight="1"/>
    <row r="12780" ht="15" customHeight="1"/>
    <row r="12781" ht="15" customHeight="1"/>
    <row r="12782" ht="15" customHeight="1"/>
    <row r="12783" ht="15" customHeight="1"/>
    <row r="12784" ht="15" customHeight="1"/>
    <row r="12785" ht="15" customHeight="1"/>
    <row r="12786" ht="15" customHeight="1"/>
    <row r="12787" ht="15" customHeight="1"/>
    <row r="12788" ht="15" customHeight="1"/>
    <row r="12789" ht="15" customHeight="1"/>
    <row r="12790" ht="15" customHeight="1"/>
    <row r="12791" ht="15" customHeight="1"/>
    <row r="12792" ht="15" customHeight="1"/>
    <row r="12793" ht="15" customHeight="1"/>
    <row r="12794" ht="15" customHeight="1"/>
    <row r="12795" ht="15" customHeight="1"/>
    <row r="12796" ht="15" customHeight="1"/>
    <row r="12797" ht="15" customHeight="1"/>
    <row r="12798" ht="15" customHeight="1"/>
    <row r="12799" ht="15" customHeight="1"/>
    <row r="12800" ht="15" customHeight="1"/>
    <row r="12801" ht="15" customHeight="1"/>
    <row r="12802" ht="15" customHeight="1"/>
    <row r="12803" ht="15" customHeight="1"/>
    <row r="12804" ht="15" customHeight="1"/>
    <row r="12805" ht="15" customHeight="1"/>
    <row r="12806" ht="15" customHeight="1"/>
    <row r="12807" ht="15" customHeight="1"/>
    <row r="12808" ht="15" customHeight="1"/>
    <row r="12809" ht="15" customHeight="1"/>
    <row r="12810" ht="15" customHeight="1"/>
    <row r="12811" ht="15" customHeight="1"/>
    <row r="12812" ht="15" customHeight="1"/>
    <row r="12813" ht="15" customHeight="1"/>
    <row r="12814" ht="15" customHeight="1"/>
    <row r="12815" ht="15" customHeight="1"/>
    <row r="12816" ht="15" customHeight="1"/>
    <row r="12817" ht="15" customHeight="1"/>
    <row r="12818" ht="15" customHeight="1"/>
    <row r="12819" ht="15" customHeight="1"/>
    <row r="12820" ht="15" customHeight="1"/>
    <row r="12821" ht="15" customHeight="1"/>
    <row r="12822" ht="15" customHeight="1"/>
    <row r="12823" ht="15" customHeight="1"/>
    <row r="12824" ht="15" customHeight="1"/>
    <row r="12825" ht="15" customHeight="1"/>
    <row r="12826" ht="15" customHeight="1"/>
    <row r="12827" ht="15" customHeight="1"/>
    <row r="12828" ht="15" customHeight="1"/>
    <row r="12829" ht="15" customHeight="1"/>
    <row r="12830" ht="15" customHeight="1"/>
    <row r="12831" ht="15" customHeight="1"/>
    <row r="12832" ht="15" customHeight="1"/>
    <row r="12833" ht="15" customHeight="1"/>
    <row r="12834" ht="15" customHeight="1"/>
    <row r="12835" ht="15" customHeight="1"/>
    <row r="12836" ht="15" customHeight="1"/>
    <row r="12837" ht="15" customHeight="1"/>
    <row r="12838" ht="15" customHeight="1"/>
    <row r="12839" ht="15" customHeight="1"/>
    <row r="12840" ht="15" customHeight="1"/>
    <row r="12841" ht="15" customHeight="1"/>
    <row r="12842" ht="15" customHeight="1"/>
    <row r="12843" ht="15" customHeight="1"/>
    <row r="12844" ht="15" customHeight="1"/>
    <row r="12845" ht="15" customHeight="1"/>
    <row r="12846" ht="15" customHeight="1"/>
    <row r="12847" ht="15" customHeight="1"/>
    <row r="12848" ht="15" customHeight="1"/>
    <row r="12849" ht="15" customHeight="1"/>
    <row r="12850" ht="15" customHeight="1"/>
    <row r="12851" ht="15" customHeight="1"/>
    <row r="12852" ht="15" customHeight="1"/>
    <row r="12853" ht="15" customHeight="1"/>
    <row r="12854" ht="15" customHeight="1"/>
    <row r="12855" ht="15" customHeight="1"/>
    <row r="12856" ht="15" customHeight="1"/>
    <row r="12857" ht="15" customHeight="1"/>
    <row r="12858" ht="15" customHeight="1"/>
    <row r="12859" ht="15" customHeight="1"/>
    <row r="12860" ht="15" customHeight="1"/>
    <row r="12861" ht="15" customHeight="1"/>
    <row r="12862" ht="15" customHeight="1"/>
    <row r="12863" ht="15" customHeight="1"/>
    <row r="12864" ht="15" customHeight="1"/>
    <row r="12865" ht="15" customHeight="1"/>
    <row r="12866" ht="15" customHeight="1"/>
    <row r="12867" ht="15" customHeight="1"/>
    <row r="12868" ht="15" customHeight="1"/>
    <row r="12869" ht="15" customHeight="1"/>
    <row r="12870" ht="15" customHeight="1"/>
    <row r="12871" ht="15" customHeight="1"/>
    <row r="12872" ht="15" customHeight="1"/>
    <row r="12873" ht="15" customHeight="1"/>
    <row r="12874" ht="15" customHeight="1"/>
    <row r="12875" ht="15" customHeight="1"/>
    <row r="12876" ht="15" customHeight="1"/>
    <row r="12877" ht="15" customHeight="1"/>
    <row r="12878" ht="15" customHeight="1"/>
    <row r="12879" ht="15" customHeight="1"/>
    <row r="12880" ht="15" customHeight="1"/>
    <row r="12881" ht="15" customHeight="1"/>
    <row r="12882" ht="15" customHeight="1"/>
    <row r="12883" ht="15" customHeight="1"/>
    <row r="12884" ht="15" customHeight="1"/>
    <row r="12885" ht="15" customHeight="1"/>
    <row r="12886" ht="15" customHeight="1"/>
    <row r="12887" ht="15" customHeight="1"/>
    <row r="12888" ht="15" customHeight="1"/>
    <row r="12889" ht="15" customHeight="1"/>
    <row r="12890" ht="15" customHeight="1"/>
    <row r="12891" ht="15" customHeight="1"/>
    <row r="12892" ht="15" customHeight="1"/>
    <row r="12893" ht="15" customHeight="1"/>
    <row r="12894" ht="15" customHeight="1"/>
    <row r="12895" ht="24" customHeight="1"/>
    <row r="12896" ht="15" customHeight="1"/>
    <row r="12897" ht="15" customHeight="1"/>
    <row r="12898" ht="15" customHeight="1"/>
    <row r="12899" ht="15" customHeight="1"/>
    <row r="12900" ht="15" customHeight="1"/>
    <row r="12901" ht="15" customHeight="1"/>
    <row r="12902" ht="15" customHeight="1"/>
    <row r="12903" ht="15" customHeight="1"/>
    <row r="12904" ht="15" customHeight="1"/>
    <row r="12905" ht="15" customHeight="1"/>
    <row r="12906" ht="15" customHeight="1"/>
    <row r="12907" ht="15" customHeight="1"/>
    <row r="12908" ht="15" customHeight="1"/>
    <row r="12909" ht="15" customHeight="1"/>
    <row r="12910" ht="15" customHeight="1"/>
    <row r="12911" ht="15" customHeight="1"/>
    <row r="12912" ht="15" customHeight="1"/>
    <row r="12913" ht="15" customHeight="1"/>
    <row r="12914" ht="15" customHeight="1"/>
    <row r="12915" ht="15" customHeight="1"/>
    <row r="12916" ht="15" customHeight="1"/>
    <row r="12917" ht="15" customHeight="1"/>
    <row r="12918" ht="15" customHeight="1"/>
    <row r="12919" ht="15" customHeight="1"/>
    <row r="12920" ht="15" customHeight="1"/>
    <row r="12921" ht="15" customHeight="1"/>
    <row r="12922" ht="15" customHeight="1"/>
    <row r="12923" ht="15" customHeight="1"/>
    <row r="12924" ht="15" customHeight="1"/>
    <row r="12925" ht="15" customHeight="1"/>
    <row r="12926" ht="15" customHeight="1"/>
    <row r="12927" ht="15" customHeight="1"/>
    <row r="12928" ht="15" customHeight="1"/>
    <row r="12929" ht="15" customHeight="1"/>
    <row r="12930" ht="15" customHeight="1"/>
    <row r="12931" ht="15" customHeight="1"/>
    <row r="12932" ht="15" customHeight="1"/>
    <row r="12933" ht="15" customHeight="1"/>
    <row r="12934" ht="15" customHeight="1"/>
    <row r="12935" ht="15" customHeight="1"/>
    <row r="12936" ht="15" customHeight="1"/>
    <row r="12937" ht="15" customHeight="1"/>
    <row r="12938" ht="15" customHeight="1"/>
    <row r="12939" ht="15" customHeight="1"/>
    <row r="12940" ht="15" customHeight="1"/>
    <row r="12941" ht="15" customHeight="1"/>
    <row r="12942" ht="15" customHeight="1"/>
    <row r="12943" ht="15" customHeight="1"/>
    <row r="12944" ht="15" customHeight="1"/>
    <row r="12945" ht="15" customHeight="1"/>
    <row r="12946" ht="15" customHeight="1"/>
    <row r="12947" ht="15" customHeight="1"/>
    <row r="12948" ht="15" customHeight="1"/>
    <row r="12949" ht="15" customHeight="1"/>
    <row r="12950" ht="15" customHeight="1"/>
    <row r="12951" ht="15" customHeight="1"/>
    <row r="12952" ht="15" customHeight="1"/>
    <row r="12953" ht="15" customHeight="1"/>
    <row r="12954" ht="15" customHeight="1"/>
    <row r="12955" ht="15" customHeight="1"/>
    <row r="12956" ht="15" customHeight="1"/>
    <row r="12957" ht="15" customHeight="1"/>
    <row r="12958" ht="15" customHeight="1"/>
    <row r="12959" ht="15" customHeight="1"/>
    <row r="12960" ht="15" customHeight="1"/>
    <row r="12961" ht="15" customHeight="1"/>
    <row r="12962" ht="15" customHeight="1"/>
    <row r="12963" ht="15" customHeight="1"/>
    <row r="12964" ht="15" customHeight="1"/>
    <row r="12965" ht="15" customHeight="1"/>
    <row r="12966" ht="15" customHeight="1"/>
    <row r="12967" ht="15" customHeight="1"/>
    <row r="12968" ht="15" customHeight="1"/>
    <row r="12969" ht="15" customHeight="1"/>
    <row r="12970" ht="15" customHeight="1"/>
    <row r="12971" ht="15" customHeight="1"/>
    <row r="12972" ht="15" customHeight="1"/>
    <row r="12973" ht="15" customHeight="1"/>
    <row r="12996" ht="28.8" customHeight="1"/>
    <row r="13092" ht="42.75" customHeight="1"/>
    <row r="13164" ht="28.8" customHeight="1"/>
    <row r="13227" ht="42.75" customHeight="1"/>
    <row r="13271" ht="28.5" customHeight="1"/>
    <row r="13318" ht="28.8" customHeight="1"/>
    <row r="13340" ht="43.2" customHeight="1"/>
    <row r="13406" ht="28.5" customHeight="1"/>
    <row r="13424" ht="57.6" customHeight="1"/>
    <row r="13499" ht="86.25" customHeight="1"/>
    <row r="13558" ht="42.75" customHeight="1"/>
    <row r="13604" ht="100.5" customHeight="1"/>
    <row r="13633" ht="86.25" customHeight="1"/>
    <row r="13692" ht="42.75" customHeight="1"/>
    <row r="13738" ht="100.5" customHeight="1"/>
    <row r="13901" ht="57" customHeight="1"/>
    <row r="13905" ht="43.2" customHeight="1"/>
    <row r="13908" ht="57" customHeight="1"/>
    <row r="13942" ht="72" customHeight="1"/>
    <row r="14084" ht="28.8" customHeight="1"/>
    <row r="14311" ht="86.40000000000001" customHeight="1"/>
    <row r="14370" ht="43.2" customHeight="1"/>
    <row r="14416" ht="100.8" customHeight="1"/>
    <row r="14578" ht="57.6" customHeight="1"/>
    <row r="14585" ht="57.6" customHeight="1"/>
    <row r="14619" ht="72" customHeight="1"/>
    <row r="15005" ht="43.2" customHeight="1"/>
    <row r="15125" ht="28.8" customHeight="1"/>
    <row r="15131" ht="57.6" customHeight="1"/>
    <row r="15140" ht="57.6" customHeight="1"/>
    <row r="15146" ht="57.6" customHeight="1"/>
    <row r="15168" ht="57.6" customHeight="1"/>
    <row r="15494" ht="43.2" customHeight="1"/>
    <row r="15591" ht="28.8" customHeight="1"/>
    <row r="15680" ht="43.2" customHeight="1"/>
    <row r="15699" ht="129.6" customHeight="1"/>
    <row r="15708" ht="43.2" customHeight="1"/>
    <row r="20276" ht="43.2" customHeight="1"/>
    <row r="20292" ht="43.2" customHeight="1"/>
    <row r="20307" ht="28.8" customHeight="1"/>
    <row r="20390" ht="28.8" customHeight="1"/>
    <row r="20993" ht="72" customHeight="1"/>
    <row r="21086" ht="43.2" customHeight="1"/>
    <row r="21118" ht="28.8" customHeight="1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2026-08-10T05:26:19Z</dcterms:created>
  <dcterms:modified xsi:type="dcterms:W3CDTF">2026-09-16T06:38:20Z</dcterms:modified>
  <cp:lastModifiedBy>Darshan Chandavarkar</cp:lastModifiedBy>
  <cp:revision>7</cp:revision>
</cp:coreProperties>
</file>